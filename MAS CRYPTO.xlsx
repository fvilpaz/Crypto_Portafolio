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o\Desktop\"/>
    </mc:Choice>
  </mc:AlternateContent>
  <xr:revisionPtr revIDLastSave="0" documentId="8_{4A3C76B9-E67C-4876-8EE2-5E87C4F1190B}" xr6:coauthVersionLast="47" xr6:coauthVersionMax="47" xr10:uidLastSave="{00000000-0000-0000-0000-000000000000}"/>
  <bookViews>
    <workbookView xWindow="-110" yWindow="-110" windowWidth="25820" windowHeight="13900" activeTab="1" xr2:uid="{31C2A091-2139-4B9F-86E2-2CF366C27764}"/>
  </bookViews>
  <sheets>
    <sheet name="RESUMEN" sheetId="7" r:id="rId1"/>
    <sheet name="PLAN Y RIESGOS" sheetId="10" r:id="rId2"/>
    <sheet name="MOVIMIENTOS" sheetId="8" r:id="rId3"/>
    <sheet name="PRECIOS" sheetId="9" r:id="rId4"/>
    <sheet name="2025" sheetId="1" r:id="rId5"/>
    <sheet name="2026" sheetId="6" r:id="rId6"/>
    <sheet name="TRADE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2" i="10" l="1"/>
  <c r="B82" i="10"/>
  <c r="F71" i="10"/>
  <c r="F70" i="10"/>
  <c r="E70" i="10"/>
  <c r="F69" i="10"/>
  <c r="E69" i="10"/>
  <c r="D69" i="10"/>
  <c r="F68" i="10"/>
  <c r="E68" i="10"/>
  <c r="D68" i="10"/>
  <c r="F67" i="10"/>
  <c r="E67" i="10"/>
  <c r="D67" i="10"/>
  <c r="C61" i="10"/>
  <c r="B61" i="10"/>
  <c r="D60" i="10"/>
  <c r="D59" i="10"/>
  <c r="D58" i="10"/>
  <c r="D57" i="10"/>
  <c r="C60" i="10"/>
  <c r="B10" i="10"/>
  <c r="B9" i="10"/>
  <c r="B8" i="10"/>
  <c r="B7" i="10"/>
  <c r="B6" i="10"/>
  <c r="E30" i="10"/>
  <c r="C30" i="10"/>
  <c r="C29" i="10"/>
  <c r="C28" i="10"/>
  <c r="C27" i="10"/>
  <c r="C31" i="10"/>
  <c r="C26" i="10"/>
  <c r="B31" i="10"/>
  <c r="B11" i="10"/>
  <c r="B18" i="10" s="1"/>
  <c r="F10" i="8"/>
  <c r="F9" i="8"/>
  <c r="G9" i="8" s="1"/>
  <c r="K3" i="6"/>
  <c r="J3" i="6"/>
  <c r="K3" i="1"/>
  <c r="J3" i="1"/>
  <c r="B41" i="7"/>
  <c r="B40" i="7"/>
  <c r="B39" i="7"/>
  <c r="B38" i="7"/>
  <c r="B37" i="7"/>
  <c r="B36" i="7"/>
  <c r="B35" i="7"/>
  <c r="B34" i="7"/>
  <c r="B33" i="7"/>
  <c r="B32" i="7"/>
  <c r="B24" i="7"/>
  <c r="B23" i="7"/>
  <c r="B22" i="7"/>
  <c r="E18" i="7"/>
  <c r="B18" i="7"/>
  <c r="F18" i="7" s="1"/>
  <c r="E17" i="7"/>
  <c r="B17" i="7"/>
  <c r="F17" i="7" s="1"/>
  <c r="F16" i="7"/>
  <c r="E16" i="7"/>
  <c r="B16" i="7"/>
  <c r="F12" i="7"/>
  <c r="E11" i="7"/>
  <c r="C11" i="7"/>
  <c r="B11" i="7"/>
  <c r="E10" i="7"/>
  <c r="C10" i="7"/>
  <c r="B10" i="7"/>
  <c r="F10" i="7" s="1"/>
  <c r="E9" i="7"/>
  <c r="B9" i="7"/>
  <c r="F9" i="7" s="1"/>
  <c r="F8" i="7"/>
  <c r="E8" i="7"/>
  <c r="C8" i="7"/>
  <c r="B8" i="7"/>
  <c r="B4" i="7"/>
  <c r="G2" i="8"/>
  <c r="G3" i="8"/>
  <c r="G4" i="8"/>
  <c r="G5" i="8"/>
  <c r="G6" i="8"/>
  <c r="G7" i="8"/>
  <c r="G8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3" i="6"/>
  <c r="H3" i="6" s="1"/>
  <c r="F6" i="6"/>
  <c r="F7" i="6"/>
  <c r="F8" i="6"/>
  <c r="F9" i="6"/>
  <c r="F10" i="6"/>
  <c r="F11" i="6"/>
  <c r="F12" i="6"/>
  <c r="F13" i="6"/>
  <c r="F14" i="6"/>
  <c r="F15" i="6"/>
  <c r="F16" i="6"/>
  <c r="F17" i="6"/>
  <c r="F5" i="6"/>
  <c r="G3" i="1"/>
  <c r="H3" i="1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5" i="1"/>
  <c r="F5" i="5"/>
  <c r="F6" i="5"/>
  <c r="F7" i="5"/>
  <c r="F8" i="5"/>
  <c r="F9" i="5"/>
  <c r="F10" i="5"/>
  <c r="F11" i="5"/>
  <c r="F12" i="5"/>
  <c r="F13" i="5"/>
  <c r="F14" i="5"/>
  <c r="F4" i="5"/>
  <c r="B36" i="10" l="1"/>
  <c r="C42" i="10" s="1"/>
  <c r="C6" i="10"/>
  <c r="D26" i="10" s="1"/>
  <c r="E26" i="10" s="1"/>
  <c r="B16" i="10"/>
  <c r="C7" i="10"/>
  <c r="D27" i="10" s="1"/>
  <c r="E27" i="10" s="1"/>
  <c r="B42" i="10"/>
  <c r="C9" i="10"/>
  <c r="D29" i="10" s="1"/>
  <c r="E29" i="10" s="1"/>
  <c r="C10" i="10"/>
  <c r="C11" i="10"/>
  <c r="B14" i="10"/>
  <c r="B15" i="10"/>
  <c r="D42" i="10"/>
  <c r="B43" i="10"/>
  <c r="D43" i="10"/>
  <c r="B40" i="10"/>
  <c r="E41" i="10"/>
  <c r="E43" i="10"/>
  <c r="C8" i="10"/>
  <c r="D28" i="10" s="1"/>
  <c r="E28" i="10" s="1"/>
  <c r="B17" i="10"/>
  <c r="C9" i="7"/>
  <c r="C12" i="7" s="1"/>
  <c r="G10" i="7"/>
  <c r="D8" i="7"/>
  <c r="G8" i="7"/>
  <c r="D11" i="7"/>
  <c r="H10" i="7"/>
  <c r="D10" i="7"/>
  <c r="F11" i="7"/>
  <c r="G11" i="7" s="1"/>
  <c r="H11" i="7" s="1"/>
  <c r="D40" i="10" l="1"/>
  <c r="E42" i="10"/>
  <c r="E40" i="10"/>
  <c r="C43" i="10"/>
  <c r="D41" i="10"/>
  <c r="B41" i="10"/>
  <c r="C41" i="10"/>
  <c r="C40" i="10"/>
  <c r="B21" i="7"/>
  <c r="D9" i="7"/>
  <c r="G9" i="7"/>
  <c r="G12" i="7" s="1"/>
  <c r="H12" i="7" s="1"/>
  <c r="H8" i="7"/>
  <c r="H9" i="7" l="1"/>
  <c r="B25" i="7"/>
  <c r="B27" i="7" s="1"/>
  <c r="B26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17B356-149A-4194-9EB2-D87756B4E079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<sst xmlns="http://schemas.openxmlformats.org/spreadsheetml/2006/main" count="374" uniqueCount="184">
  <si>
    <t>FECHA</t>
  </si>
  <si>
    <t>EUROS</t>
  </si>
  <si>
    <t>CANTIDAD</t>
  </si>
  <si>
    <t>MONEDA</t>
  </si>
  <si>
    <t>BNB</t>
  </si>
  <si>
    <t>BGB</t>
  </si>
  <si>
    <t>COMISION</t>
  </si>
  <si>
    <t>TRAZABILIDAD Y CONTABILIDAD</t>
  </si>
  <si>
    <t>USDC</t>
  </si>
  <si>
    <t>ETH</t>
  </si>
  <si>
    <t>THE</t>
  </si>
  <si>
    <t>LINEA</t>
  </si>
  <si>
    <t>AIRDROPS</t>
  </si>
  <si>
    <t>TOKEN</t>
  </si>
  <si>
    <t>PRECIO</t>
  </si>
  <si>
    <t>DOLARES</t>
  </si>
  <si>
    <t>VOLUMEN</t>
  </si>
  <si>
    <t>AVAX</t>
  </si>
  <si>
    <t>ATOM</t>
  </si>
  <si>
    <t>TIA</t>
  </si>
  <si>
    <t>DOT</t>
  </si>
  <si>
    <t>NEAR</t>
  </si>
  <si>
    <t>COMPRAS</t>
  </si>
  <si>
    <t>CAMBIOS</t>
  </si>
  <si>
    <t>MONEDA 1</t>
  </si>
  <si>
    <t>MONEDA 2</t>
  </si>
  <si>
    <t>PRECIO TRADE</t>
  </si>
  <si>
    <t>BTC</t>
  </si>
  <si>
    <t>BIT2ME</t>
  </si>
  <si>
    <t>RESUMEN DE CARTERA — POSICIÓN Y RESULTADO</t>
  </si>
  <si>
    <t>P&amp;L %</t>
  </si>
  <si>
    <t>TOTAL</t>
  </si>
  <si>
    <t>COSTE UNITARIO (€)</t>
  </si>
  <si>
    <t>TOTAL INVERTIDO (€ / $)</t>
  </si>
  <si>
    <t>CLASE</t>
  </si>
  <si>
    <t>PRECIO (USD)</t>
  </si>
  <si>
    <t>TOTAL (USD)</t>
  </si>
  <si>
    <t>COSTE (€)</t>
  </si>
  <si>
    <t>Compra</t>
  </si>
  <si>
    <t>MODE</t>
  </si>
  <si>
    <t>PI</t>
  </si>
  <si>
    <t>ATONE</t>
  </si>
  <si>
    <t>Airdrop</t>
  </si>
  <si>
    <t>Staking</t>
  </si>
  <si>
    <t>COSTE (USD)</t>
  </si>
  <si>
    <t>P&amp;L (USD)</t>
  </si>
  <si>
    <t>COSTE REGISTRADO (€)</t>
  </si>
  <si>
    <t>Valor actual (USD)</t>
  </si>
  <si>
    <t>VALOR CARTERA HOY</t>
  </si>
  <si>
    <t>Coste base (USD)</t>
  </si>
  <si>
    <t>Beneficio total (USD)</t>
  </si>
  <si>
    <t>OBSERVACIONES</t>
  </si>
  <si>
    <t>FUENTE</t>
  </si>
  <si>
    <t>CoinMarketCap</t>
  </si>
  <si>
    <t>Edita aquí los precios (columna azul). RESUMEN los lee con BUSCARX. Para auto-actualizar: Datos &gt; Desde web con la API de CoinGecko y vuelca aquí.</t>
  </si>
  <si>
    <t>Fecha de los precios</t>
  </si>
  <si>
    <t>CARTERA — TU CAPITAL</t>
  </si>
  <si>
    <t>PRECIO MEDIO</t>
  </si>
  <si>
    <t>PRECIO ACTUAL</t>
  </si>
  <si>
    <t>VALOR (USD)</t>
  </si>
  <si>
    <t>AIRDROPS / STAKING — sin capital invertido (informativo)</t>
  </si>
  <si>
    <t>NOTA</t>
  </si>
  <si>
    <t>Bloqueado ~4 años (minado móvil)</t>
  </si>
  <si>
    <t>Airdrop / staking</t>
  </si>
  <si>
    <t>RESULTADO (orientativo)</t>
  </si>
  <si>
    <t>Coste total (USD)</t>
  </si>
  <si>
    <t>Valor cartera (USD)</t>
  </si>
  <si>
    <t>Valor airdrops (USD)</t>
  </si>
  <si>
    <t>Valor total (USD)</t>
  </si>
  <si>
    <t>P&amp;L total (USD)</t>
  </si>
  <si>
    <t>P&amp;L total (€)</t>
  </si>
  <si>
    <t>✓ OFICIAL HACIENDA (CoinMarketCap)</t>
  </si>
  <si>
    <t>Beneficio %</t>
  </si>
  <si>
    <t>Cifra oficial: sale de las transacciones reales del tracker.</t>
  </si>
  <si>
    <t>COMPRAS HISTÓRICAS — no en cartera actual (registro para Hacienda)</t>
  </si>
  <si>
    <t>Tipo de cambio €/$</t>
  </si>
  <si>
    <t>PLAN DE INVERSIÓN Y ANÁLISIS DE RIESGOS</t>
  </si>
  <si>
    <t>Cartera cripto de Nando · asesoramiento educativo, no es recomendación financiera</t>
  </si>
  <si>
    <t>1 · FOTO ACTUAL DE TU CARTERA</t>
  </si>
  <si>
    <t>ACTIVO</t>
  </si>
  <si>
    <t>% CARTERA</t>
  </si>
  <si>
    <t>CATEGORÍA</t>
  </si>
  <si>
    <t>NIVEL DE RIESGO</t>
  </si>
  <si>
    <t>Bitcoin (BTC)</t>
  </si>
  <si>
    <t>Ethereum (ETH)</t>
  </si>
  <si>
    <t>Cosmos (ATOM)</t>
  </si>
  <si>
    <t>Celestia (TIA)</t>
  </si>
  <si>
    <t>Airdrops (PI/ATONE/MODE)</t>
  </si>
  <si>
    <t>Large-cap</t>
  </si>
  <si>
    <t>Moderado</t>
  </si>
  <si>
    <t>Alto</t>
  </si>
  <si>
    <t>Muy alto</t>
  </si>
  <si>
    <t>2 · DIAGNÓSTICO DE RIESGOS</t>
  </si>
  <si>
    <t>Peso en large-cap (BTC + ETH)</t>
  </si>
  <si>
    <t>Base más sólida y líquida de la cartera</t>
  </si>
  <si>
    <t>Peso en alts (ATOM + TIA)</t>
  </si>
  <si>
    <t>Más potencial pero mucha más volatilidad</t>
  </si>
  <si>
    <t>⚠ Riesgo de correlación: tienden a subir y bajar juntas</t>
  </si>
  <si>
    <t>Mayor posición individual</t>
  </si>
  <si>
    <t>Cuanto más alto, más dependes de un solo activo</t>
  </si>
  <si>
    <t>Airdrops (valor especulativo)</t>
  </si>
  <si>
    <t>Coste 0 €; PI bloqueado ~4 años. No cuentes con ello</t>
  </si>
  <si>
    <t>VEREDICTO: Base sólida — el 64% está en BTC+ETH, que es lo correcto para una cartera pequeña. PERO un tercio está concentrado en el ecosistema Cosmos (ATOM+TIA): se mueven muy correlacionadas, así que si Cosmos flojea, pierdes por partida doble, y TIA es de lo más volátil que tienes. Además no tienes stablecoins = no tienes 'pólvora seca' para aprovechar las caídas. Plan: mantener el núcleo BTC/ETH, no dejar que Cosmos crezca más del ~25-30%, y abrir un pequeño colchón en USDC para comprar en los desplomes.</t>
  </si>
  <si>
    <t>3 · CÓMO REPARTIR TUS 175 €/MES</t>
  </si>
  <si>
    <t>Aportación mensual (€)</t>
  </si>
  <si>
    <t>← cambia este número y todo el plan se recalcula</t>
  </si>
  <si>
    <t>PESO OBJETIVO</t>
  </si>
  <si>
    <t>APORTA (€/mes)</t>
  </si>
  <si>
    <t>PESO ACTUAL</t>
  </si>
  <si>
    <t>QUÉ HACER</t>
  </si>
  <si>
    <t>USDC (colchón)</t>
  </si>
  <si>
    <t>Por qué este reparto: 70% en BTC+ETH (el núcleo, menos volátil) y 25% en tus alts (ATOM+TIA, más riesgo/recompensa) sin pasarte de ahí, más un 5% en USDC que vas acumulando para comprar en las caídas fuertes. Aportando siempre lo mismo cada mes (DCA) compras más barato cuando cae y evitas intentar adivinar el mejor momento. Ajusta los % azules a tu gusto: el reparto en € se recalcula solo.</t>
  </si>
  <si>
    <t>4 · PROYECCIÓN SI MANTIENES EL PLAN</t>
  </si>
  <si>
    <t>Valor de partida hoy (€)</t>
  </si>
  <si>
    <t>Aportando 175 €/mes de forma constante (DCA)</t>
  </si>
  <si>
    <t>HORIZONTE</t>
  </si>
  <si>
    <t>CONSERVADOR</t>
  </si>
  <si>
    <t>BASE (realista)</t>
  </si>
  <si>
    <t>OPTIMISTA</t>
  </si>
  <si>
    <t>TOTAL APORTADO</t>
  </si>
  <si>
    <t>Rentabilidad anual →</t>
  </si>
  <si>
    <t>5 · REGLAS DE ORO</t>
  </si>
  <si>
    <t>1.  Fondo de emergencia PRIMERO: ten 3–6 meses de gastos en efectivo antes de meter nada en cripto.
2.  Solo invierte lo que puedas permitirte perder. La cripto puede caer un 70–80% en un mal año — que no te pille apalancado ni con dinero que necesitas.
3.  DCA siempre: los mismos 175 €/mes pase lo que pase. No intentes adivinar el suelo ni el techo.
4.  No persigas pumps: si algo ya ha subido 5x, no es el momento de entrar a lo loco.
5.  Rebalancea cada 3–6 meses: si un activo se dispara y rompe tu %, vende un poco y vuelve al objetivo.
6.  Toma beneficios en la euforia: en un bull fuerte, pasa parte a USDC/€. Nadie ha quebrado por tomar ganancias.
7.  Seguridad: activa 2FA y, según acumules, plantéate una hardware wallet. No dejes todo en el exchange.
8.  Hacienda: cada venta o cambio de token tributa. Guarda el registro (ya lo tienes en las hojas 2025/2026).</t>
  </si>
  <si>
    <t>VALOR (€)</t>
  </si>
  <si>
    <t>Alt (Cosmos)</t>
  </si>
  <si>
    <t>Especulativo</t>
  </si>
  <si>
    <t>Concentración Cosmos (ATOM+TIA)</t>
  </si>
  <si>
    <t>si</t>
  </si>
  <si>
    <t>6 · CUSTODIA Y SEGURIDAD (dónde está tu dinero)</t>
  </si>
  <si>
    <t>UBICACIÓN</t>
  </si>
  <si>
    <t>TIPO</t>
  </si>
  <si>
    <t>IMPORTE (€)</t>
  </si>
  <si>
    <t>PARA QUÉ</t>
  </si>
  <si>
    <t>Bit2Me</t>
  </si>
  <si>
    <t>Exchange (regulado ES)</t>
  </si>
  <si>
    <t>Puente a euros y declarar a Hacienda</t>
  </si>
  <si>
    <t>Autocustodia (blockchain)</t>
  </si>
  <si>
    <t>Tuyo (claves propias)</t>
  </si>
  <si>
    <t>Bóveda largo plazo — nadie te la congela</t>
  </si>
  <si>
    <t>Bitget</t>
  </si>
  <si>
    <t>Exchange (earn)</t>
  </si>
  <si>
    <t>Operativa y rendimiento (en riesgo si el exchange peta)</t>
  </si>
  <si>
    <t>% en exchanges (Bit2Me + Bitget)</t>
  </si>
  <si>
    <t>Regla de custodia: lo que no vayas a tocar este año → autocustodia (tuyo, sin earn pero seguro). Solo en exchange lo que muevas o pongas a rentar, sabiendo que ese saldo está en riesgo si el exchange falla. Objetivo: ir bajando el % en exchanges con el tiempo. Rellena los importes reales (celdas naranjas) y el semáforo se actualiza.</t>
  </si>
  <si>
    <t>7 · STAKING E INGRESOS PASIVOS</t>
  </si>
  <si>
    <t>APR</t>
  </si>
  <si>
    <t>PRECIO ($)</t>
  </si>
  <si>
    <t>INGRESO/AÑO ($)</t>
  </si>
  <si>
    <t>INGRESO €/MES</t>
  </si>
  <si>
    <t>ATOM (Cosmos)</t>
  </si>
  <si>
    <t>RE-STAKEAR (no aportar dinero nuevo)</t>
  </si>
  <si>
    <t>TIA (Celestia)</t>
  </si>
  <si>
    <t>Renta poco; mantener stakeado</t>
  </si>
  <si>
    <t>ETH (staking)</t>
  </si>
  <si>
    <t>Opcional, no-custodial (Lido/RocketPool). Pon la cantidad si stakeas</t>
  </si>
  <si>
    <t>USDC (earn)</t>
  </si>
  <si>
    <t>En Bitget 4-6%. Ojo: &gt;8% = riesgo, huye</t>
  </si>
  <si>
    <t>Idea clave: las recompensas de ATOM re-stakéalas (auto-compound) y NO metas dinero nuevo en ATOM — ya crece solo. Si algún día quieres mover parte de Cosmos, hazlo rotando dentro del sobre satélite (abajo), nunca quitándole a BTC/ETH. Rellena cantidades y APR reales (celdas azules) para ver tu ingreso pasivo real.</t>
  </si>
  <si>
    <t>8 · WATCHLIST / CAPA SATÉLITE (dinero que puedes perder)</t>
  </si>
  <si>
    <t>CANDIDATA</t>
  </si>
  <si>
    <t>ECOSISTEMA</t>
  </si>
  <si>
    <t>¿DEFLAC.?</t>
  </si>
  <si>
    <t>TESIS</t>
  </si>
  <si>
    <t>RIESGO PRINCIPAL</t>
  </si>
  <si>
    <t>INJ (Injective)</t>
  </si>
  <si>
    <t>Cosmos</t>
  </si>
  <si>
    <t>Sí</t>
  </si>
  <si>
    <t>Deflacionario con quema; mejor tokenomics que ATOM</t>
  </si>
  <si>
    <t>Correlación Cosmos (no diversifica) · ya no barato</t>
  </si>
  <si>
    <t>BGB (Bitget)</t>
  </si>
  <si>
    <t>Ethereum / Bitget</t>
  </si>
  <si>
    <t>Sí (real)</t>
  </si>
  <si>
    <t>Token de exchange tipo BNB; 2-4x si Bitget crece</t>
  </si>
  <si>
    <t>MiCA + concentras todo en Bitget (token+saldos)</t>
  </si>
  <si>
    <t>SOL + Orca (LP)</t>
  </si>
  <si>
    <t>Solana</t>
  </si>
  <si>
    <t>No</t>
  </si>
  <si>
    <t>Comisiones por dar liquidez concentrada</t>
  </si>
  <si>
    <t>Impermanent loss + gestión activa + smart contract</t>
  </si>
  <si>
    <t>Tope máximo de la capa satélite</t>
  </si>
  <si>
    <t>INJ + BGB + SOL juntos ≤ este % de la cartera. Solo dinero que puedas perder.</t>
  </si>
  <si>
    <t>Concentración Cosmos hoy (ATOM+TIA)</t>
  </si>
  <si>
    <t>Tope Cosmos (ATOM+TIA+INJ)</t>
  </si>
  <si>
    <t>Aviso: material educativo para organizar tu estrategia, NO asesoramiento financiero profesional. Precios y rentabilidades son ilustrativos y editables (celdas de color); la cripto es muy volátil y puedes perder tu dinero. Las decisiones son tuyas; si lo necesitas, consulta a un asesor colegiado.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</si>
</sst>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#,##0.00\ &quot;€&quot;;[Red]\-#,##0.00\ &quot;€&quot;"/>
    <numFmt numFmtId="164" formatCode="#,##0.00\ &quot;€&quot;"/>
    <numFmt numFmtId="165" formatCode="[$$-409]#,##0.00"/>
    <numFmt numFmtId="166" formatCode="_-[$$-540A]* #,##0.00_ ;_-[$$-540A]* \-#,##0.00\ ;_-[$$-540A]* &quot;-&quot;??_ ;_-@_ "/>
    <numFmt numFmtId="167" formatCode="0.0000"/>
    <numFmt numFmtId="168" formatCode="#,##0.00######"/>
    <numFmt numFmtId="169" formatCode="#,##0.00\ \€;[Red]\(#,##0.00\ \€\);\-"/>
    <numFmt numFmtId="171" formatCode="0.0%;[Red]\(0.0%\);\-"/>
    <numFmt numFmtId="174" formatCode="#,##0.00####\ \€"/>
    <numFmt numFmtId="178" formatCode="#,##0.00####\ &quot;€&quot;"/>
    <numFmt numFmtId="179" formatCode="#,##0.00##\ &quot;€&quot;"/>
    <numFmt numFmtId="180" formatCode="#,##0.00\ \$"/>
    <numFmt numFmtId="185" formatCode="#,##0.00\ \$;[Red]\(#,##0.00\ \$\)"/>
    <numFmt numFmtId="187" formatCode="#,##0.00######\ \$"/>
    <numFmt numFmtId="188" formatCode="0.0%"/>
    <numFmt numFmtId="190" formatCode="#,##0.00\ \$;[Red]\(#,##0.00\ \$\);\-"/>
    <numFmt numFmtId="191" formatCode="#,##0.00\ \€"/>
    <numFmt numFmtId="193" formatCode="#,##0\ \€"/>
    <numFmt numFmtId="194" formatCode="0\ &quot;año&quot;"/>
    <numFmt numFmtId="195" formatCode="0\ &quot;años&quot;"/>
    <numFmt numFmtId="196" formatCode="#,##0.0000\ \$"/>
  </numFmts>
  <fonts count="2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595959"/>
      <name val="Calibri"/>
      <family val="2"/>
      <scheme val="minor"/>
    </font>
    <font>
      <sz val="11"/>
      <color rgb="FF595959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7F7F7F"/>
      <name val="Calibri"/>
      <family val="2"/>
      <scheme val="minor"/>
    </font>
    <font>
      <sz val="11"/>
      <color rgb="FF7F7F7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9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808080"/>
      <name val="Calibri"/>
      <family val="2"/>
      <scheme val="minor"/>
    </font>
    <font>
      <i/>
      <sz val="8"/>
      <color rgb="FF80808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ck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4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1" fillId="4" borderId="2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0" xfId="0" applyFont="1"/>
    <xf numFmtId="0" fontId="5" fillId="0" borderId="0" xfId="0" applyFont="1"/>
    <xf numFmtId="0" fontId="2" fillId="0" borderId="0" xfId="0" applyFont="1" applyBorder="1" applyAlignment="1"/>
    <xf numFmtId="0" fontId="2" fillId="2" borderId="6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2" fillId="2" borderId="6" xfId="0" applyNumberFormat="1" applyFont="1" applyFill="1" applyBorder="1" applyAlignment="1">
      <alignment horizontal="center"/>
    </xf>
    <xf numFmtId="165" fontId="1" fillId="4" borderId="5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/>
    </xf>
    <xf numFmtId="165" fontId="1" fillId="4" borderId="2" xfId="0" applyNumberFormat="1" applyFont="1" applyFill="1" applyBorder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/>
    </xf>
    <xf numFmtId="0" fontId="6" fillId="0" borderId="0" xfId="0" applyFont="1"/>
    <xf numFmtId="0" fontId="3" fillId="3" borderId="4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8" fontId="4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67" fontId="9" fillId="10" borderId="0" xfId="0" applyNumberFormat="1" applyFont="1" applyFill="1" applyAlignment="1">
      <alignment horizontal="center"/>
    </xf>
    <xf numFmtId="0" fontId="8" fillId="5" borderId="0" xfId="0" applyFont="1" applyFill="1" applyAlignment="1">
      <alignment horizontal="center"/>
    </xf>
    <xf numFmtId="171" fontId="0" fillId="0" borderId="1" xfId="0" applyNumberFormat="1" applyBorder="1"/>
    <xf numFmtId="0" fontId="10" fillId="3" borderId="0" xfId="0" applyFont="1" applyFill="1" applyAlignment="1">
      <alignment horizontal="center"/>
    </xf>
    <xf numFmtId="180" fontId="0" fillId="0" borderId="1" xfId="0" applyNumberFormat="1" applyBorder="1"/>
    <xf numFmtId="180" fontId="4" fillId="0" borderId="8" xfId="0" applyNumberFormat="1" applyFont="1" applyBorder="1" applyAlignment="1">
      <alignment horizontal="center" vertical="center" wrapText="1"/>
    </xf>
    <xf numFmtId="14" fontId="0" fillId="0" borderId="0" xfId="0" applyNumberFormat="1"/>
    <xf numFmtId="178" fontId="0" fillId="0" borderId="0" xfId="0" applyNumberFormat="1"/>
    <xf numFmtId="168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15" fillId="0" borderId="0" xfId="0" applyFont="1"/>
    <xf numFmtId="0" fontId="15" fillId="0" borderId="0" xfId="0" applyFont="1"/>
    <xf numFmtId="168" fontId="0" fillId="0" borderId="1" xfId="0" applyNumberFormat="1" applyBorder="1"/>
    <xf numFmtId="0" fontId="11" fillId="11" borderId="1" xfId="0" applyFont="1" applyFill="1" applyBorder="1" applyAlignment="1">
      <alignment horizontal="center" wrapText="1"/>
    </xf>
    <xf numFmtId="0" fontId="2" fillId="12" borderId="10" xfId="0" applyFont="1" applyFill="1" applyBorder="1"/>
    <xf numFmtId="185" fontId="4" fillId="0" borderId="1" xfId="0" applyNumberFormat="1" applyFont="1" applyBorder="1" applyAlignment="1">
      <alignment horizontal="center" vertical="center" wrapText="1"/>
    </xf>
    <xf numFmtId="8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9" fontId="4" fillId="0" borderId="9" xfId="0" applyNumberFormat="1" applyFont="1" applyBorder="1" applyAlignment="1">
      <alignment horizontal="center" vertical="center" wrapText="1"/>
    </xf>
    <xf numFmtId="8" fontId="4" fillId="0" borderId="9" xfId="0" applyNumberFormat="1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wrapText="1"/>
    </xf>
    <xf numFmtId="169" fontId="2" fillId="9" borderId="1" xfId="0" applyNumberFormat="1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168" fontId="2" fillId="9" borderId="1" xfId="0" applyNumberFormat="1" applyFont="1" applyFill="1" applyBorder="1" applyAlignment="1">
      <alignment horizontal="center" wrapText="1"/>
    </xf>
    <xf numFmtId="179" fontId="2" fillId="9" borderId="1" xfId="0" applyNumberFormat="1" applyFont="1" applyFill="1" applyBorder="1" applyAlignment="1">
      <alignment horizontal="center" wrapText="1"/>
    </xf>
    <xf numFmtId="8" fontId="2" fillId="9" borderId="1" xfId="0" applyNumberFormat="1" applyFont="1" applyFill="1" applyBorder="1" applyAlignment="1">
      <alignment horizontal="center" wrapText="1"/>
    </xf>
    <xf numFmtId="174" fontId="2" fillId="9" borderId="1" xfId="0" applyNumberFormat="1" applyFont="1" applyFill="1" applyBorder="1" applyAlignment="1">
      <alignment horizontal="center" wrapText="1"/>
    </xf>
    <xf numFmtId="169" fontId="4" fillId="0" borderId="1" xfId="0" applyNumberFormat="1" applyFont="1" applyBorder="1" applyAlignment="1">
      <alignment horizontal="center" vertical="center"/>
    </xf>
    <xf numFmtId="18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 wrapText="1"/>
    </xf>
    <xf numFmtId="187" fontId="9" fillId="0" borderId="0" xfId="0" applyNumberFormat="1" applyFont="1"/>
    <xf numFmtId="14" fontId="0" fillId="0" borderId="0" xfId="0" applyNumberFormat="1" applyAlignment="1">
      <alignment horizontal="center"/>
    </xf>
    <xf numFmtId="0" fontId="17" fillId="15" borderId="0" xfId="0" applyFont="1" applyFill="1" applyAlignment="1">
      <alignment horizontal="center"/>
    </xf>
    <xf numFmtId="0" fontId="17" fillId="16" borderId="0" xfId="0" applyFont="1" applyFill="1" applyAlignment="1">
      <alignment horizontal="center"/>
    </xf>
    <xf numFmtId="0" fontId="0" fillId="0" borderId="0" xfId="0"/>
    <xf numFmtId="190" fontId="0" fillId="0" borderId="1" xfId="0" applyNumberFormat="1" applyBorder="1"/>
    <xf numFmtId="187" fontId="12" fillId="0" borderId="1" xfId="0" applyNumberFormat="1" applyFont="1" applyBorder="1"/>
    <xf numFmtId="0" fontId="2" fillId="8" borderId="1" xfId="0" applyFont="1" applyFill="1" applyBorder="1"/>
    <xf numFmtId="190" fontId="2" fillId="12" borderId="10" xfId="0" applyNumberFormat="1" applyFont="1" applyFill="1" applyBorder="1"/>
    <xf numFmtId="171" fontId="2" fillId="12" borderId="10" xfId="0" applyNumberFormat="1" applyFont="1" applyFill="1" applyBorder="1"/>
    <xf numFmtId="168" fontId="19" fillId="0" borderId="1" xfId="0" applyNumberFormat="1" applyFont="1" applyBorder="1"/>
    <xf numFmtId="0" fontId="19" fillId="0" borderId="1" xfId="0" applyFont="1" applyBorder="1"/>
    <xf numFmtId="187" fontId="19" fillId="0" borderId="1" xfId="0" applyNumberFormat="1" applyFont="1" applyBorder="1"/>
    <xf numFmtId="190" fontId="19" fillId="0" borderId="1" xfId="0" applyNumberFormat="1" applyFont="1" applyBorder="1"/>
    <xf numFmtId="0" fontId="19" fillId="0" borderId="1" xfId="0" applyFont="1" applyBorder="1"/>
    <xf numFmtId="0" fontId="18" fillId="0" borderId="1" xfId="0" applyFont="1" applyBorder="1"/>
    <xf numFmtId="0" fontId="2" fillId="17" borderId="1" xfId="0" applyFont="1" applyFill="1" applyBorder="1" applyAlignment="1">
      <alignment horizontal="center"/>
    </xf>
    <xf numFmtId="0" fontId="20" fillId="0" borderId="1" xfId="0" applyFont="1" applyBorder="1"/>
    <xf numFmtId="0" fontId="11" fillId="15" borderId="4" xfId="0" applyFont="1" applyFill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2" fillId="0" borderId="4" xfId="0" applyFont="1" applyBorder="1"/>
    <xf numFmtId="190" fontId="0" fillId="0" borderId="9" xfId="0" applyNumberFormat="1" applyBorder="1"/>
    <xf numFmtId="171" fontId="0" fillId="0" borderId="9" xfId="0" applyNumberFormat="1" applyBorder="1"/>
    <xf numFmtId="169" fontId="0" fillId="0" borderId="9" xfId="0" applyNumberFormat="1" applyBorder="1"/>
    <xf numFmtId="0" fontId="11" fillId="14" borderId="4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190" fontId="9" fillId="0" borderId="9" xfId="0" applyNumberFormat="1" applyFont="1" applyBorder="1"/>
    <xf numFmtId="188" fontId="9" fillId="0" borderId="9" xfId="0" applyNumberFormat="1" applyFont="1" applyBorder="1"/>
    <xf numFmtId="0" fontId="22" fillId="0" borderId="0" xfId="0" applyFont="1"/>
    <xf numFmtId="0" fontId="21" fillId="0" borderId="1" xfId="0" applyFont="1" applyBorder="1"/>
    <xf numFmtId="169" fontId="22" fillId="0" borderId="1" xfId="0" applyNumberFormat="1" applyFont="1" applyBorder="1"/>
    <xf numFmtId="0" fontId="21" fillId="18" borderId="1" xfId="0" applyFont="1" applyFill="1" applyBorder="1"/>
    <xf numFmtId="169" fontId="21" fillId="18" borderId="1" xfId="0" applyNumberFormat="1" applyFont="1" applyFill="1" applyBorder="1"/>
    <xf numFmtId="191" fontId="4" fillId="0" borderId="8" xfId="0" applyNumberFormat="1" applyFont="1" applyBorder="1" applyAlignment="1">
      <alignment horizontal="center" vertical="center" wrapText="1"/>
    </xf>
    <xf numFmtId="191" fontId="4" fillId="0" borderId="1" xfId="0" applyNumberFormat="1" applyFont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wrapText="1"/>
    </xf>
    <xf numFmtId="14" fontId="0" fillId="9" borderId="0" xfId="0" applyNumberFormat="1" applyFill="1"/>
    <xf numFmtId="0" fontId="0" fillId="9" borderId="0" xfId="0" applyFill="1"/>
    <xf numFmtId="0" fontId="0" fillId="9" borderId="0" xfId="0" applyFill="1" applyAlignment="1">
      <alignment horizontal="center"/>
    </xf>
    <xf numFmtId="168" fontId="0" fillId="9" borderId="0" xfId="0" applyNumberFormat="1" applyFill="1"/>
    <xf numFmtId="164" fontId="0" fillId="9" borderId="0" xfId="0" applyNumberFormat="1" applyFill="1"/>
    <xf numFmtId="178" fontId="9" fillId="9" borderId="0" xfId="0" applyNumberFormat="1" applyFont="1" applyFill="1"/>
    <xf numFmtId="193" fontId="13" fillId="10" borderId="0" xfId="0" applyNumberFormat="1" applyFont="1" applyFill="1" applyAlignment="1">
      <alignment horizontal="center"/>
    </xf>
    <xf numFmtId="0" fontId="15" fillId="0" borderId="0" xfId="0" applyFont="1" applyAlignment="1">
      <alignment vertical="top" wrapText="1"/>
    </xf>
    <xf numFmtId="193" fontId="0" fillId="0" borderId="0" xfId="0" applyNumberFormat="1" applyAlignment="1">
      <alignment horizontal="center"/>
    </xf>
    <xf numFmtId="0" fontId="11" fillId="11" borderId="11" xfId="0" applyFont="1" applyFill="1" applyBorder="1" applyAlignment="1">
      <alignment horizontal="center"/>
    </xf>
    <xf numFmtId="0" fontId="0" fillId="0" borderId="11" xfId="0" applyBorder="1"/>
    <xf numFmtId="0" fontId="2" fillId="0" borderId="11" xfId="0" applyFont="1" applyBorder="1"/>
    <xf numFmtId="0" fontId="25" fillId="13" borderId="2" xfId="0" applyFont="1" applyFill="1" applyBorder="1" applyAlignment="1">
      <alignment vertical="top" wrapText="1"/>
    </xf>
    <xf numFmtId="9" fontId="9" fillId="0" borderId="11" xfId="0" applyNumberFormat="1" applyFont="1" applyBorder="1" applyAlignment="1">
      <alignment horizontal="center"/>
    </xf>
    <xf numFmtId="188" fontId="0" fillId="0" borderId="11" xfId="0" applyNumberFormat="1" applyBorder="1"/>
    <xf numFmtId="0" fontId="16" fillId="0" borderId="11" xfId="0" applyFont="1" applyBorder="1"/>
    <xf numFmtId="9" fontId="9" fillId="10" borderId="11" xfId="0" applyNumberFormat="1" applyFont="1" applyFill="1" applyBorder="1" applyAlignment="1">
      <alignment horizontal="center"/>
    </xf>
    <xf numFmtId="194" fontId="2" fillId="0" borderId="11" xfId="0" applyNumberFormat="1" applyFont="1" applyBorder="1" applyAlignment="1">
      <alignment horizontal="center"/>
    </xf>
    <xf numFmtId="193" fontId="0" fillId="0" borderId="11" xfId="0" applyNumberFormat="1" applyBorder="1" applyAlignment="1">
      <alignment horizontal="center"/>
    </xf>
    <xf numFmtId="193" fontId="26" fillId="0" borderId="11" xfId="0" applyNumberFormat="1" applyFont="1" applyBorder="1" applyAlignment="1">
      <alignment horizontal="center"/>
    </xf>
    <xf numFmtId="195" fontId="2" fillId="0" borderId="11" xfId="0" applyNumberFormat="1" applyFont="1" applyBorder="1" applyAlignment="1">
      <alignment horizontal="center"/>
    </xf>
    <xf numFmtId="0" fontId="25" fillId="19" borderId="1" xfId="0" applyFont="1" applyFill="1" applyBorder="1" applyAlignment="1">
      <alignment vertical="top" wrapText="1"/>
    </xf>
    <xf numFmtId="0" fontId="27" fillId="0" borderId="0" xfId="0" applyFont="1" applyAlignment="1">
      <alignment vertical="top" wrapText="1"/>
    </xf>
    <xf numFmtId="0" fontId="23" fillId="5" borderId="0" xfId="0" applyFont="1" applyFill="1" applyAlignment="1">
      <alignment horizontal="center"/>
    </xf>
    <xf numFmtId="0" fontId="24" fillId="5" borderId="0" xfId="0" applyFont="1" applyFill="1" applyAlignment="1">
      <alignment horizontal="center"/>
    </xf>
    <xf numFmtId="191" fontId="0" fillId="0" borderId="11" xfId="0" applyNumberFormat="1" applyBorder="1"/>
    <xf numFmtId="0" fontId="2" fillId="12" borderId="11" xfId="0" applyFont="1" applyFill="1" applyBorder="1"/>
    <xf numFmtId="188" fontId="2" fillId="12" borderId="11" xfId="0" applyNumberFormat="1" applyFont="1" applyFill="1" applyBorder="1"/>
    <xf numFmtId="191" fontId="2" fillId="12" borderId="11" xfId="0" applyNumberFormat="1" applyFont="1" applyFill="1" applyBorder="1"/>
    <xf numFmtId="0" fontId="11" fillId="20" borderId="11" xfId="0" applyFont="1" applyFill="1" applyBorder="1" applyAlignment="1">
      <alignment horizontal="center"/>
    </xf>
    <xf numFmtId="9" fontId="9" fillId="20" borderId="11" xfId="0" applyNumberFormat="1" applyFont="1" applyFill="1" applyBorder="1" applyAlignment="1">
      <alignment horizontal="center"/>
    </xf>
    <xf numFmtId="193" fontId="0" fillId="20" borderId="11" xfId="0" applyNumberFormat="1" applyFill="1" applyBorder="1" applyAlignment="1">
      <alignment horizontal="center"/>
    </xf>
    <xf numFmtId="0" fontId="0" fillId="0" borderId="11" xfId="0" applyBorder="1" applyAlignment="1">
      <alignment horizontal="center"/>
    </xf>
    <xf numFmtId="188" fontId="0" fillId="0" borderId="11" xfId="0" applyNumberFormat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193" fontId="2" fillId="12" borderId="11" xfId="0" applyNumberFormat="1" applyFont="1" applyFill="1" applyBorder="1" applyAlignment="1">
      <alignment horizontal="center"/>
    </xf>
    <xf numFmtId="188" fontId="2" fillId="12" borderId="11" xfId="0" applyNumberFormat="1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2" fillId="12" borderId="11" xfId="0" applyFont="1" applyFill="1" applyBorder="1" applyAlignment="1">
      <alignment horizontal="left"/>
    </xf>
    <xf numFmtId="193" fontId="9" fillId="13" borderId="11" xfId="0" applyNumberFormat="1" applyFont="1" applyFill="1" applyBorder="1" applyAlignment="1">
      <alignment horizontal="center"/>
    </xf>
    <xf numFmtId="188" fontId="2" fillId="21" borderId="0" xfId="0" applyNumberFormat="1" applyFont="1" applyFill="1" applyAlignment="1">
      <alignment horizontal="center"/>
    </xf>
    <xf numFmtId="10" fontId="9" fillId="0" borderId="11" xfId="0" applyNumberFormat="1" applyFont="1" applyBorder="1" applyAlignment="1">
      <alignment horizontal="center"/>
    </xf>
    <xf numFmtId="196" fontId="12" fillId="0" borderId="11" xfId="0" applyNumberFormat="1" applyFont="1" applyBorder="1"/>
    <xf numFmtId="180" fontId="0" fillId="0" borderId="11" xfId="0" applyNumberFormat="1" applyBorder="1"/>
    <xf numFmtId="196" fontId="0" fillId="0" borderId="11" xfId="0" applyNumberFormat="1" applyBorder="1" applyAlignment="1">
      <alignment horizontal="center"/>
    </xf>
    <xf numFmtId="0" fontId="14" fillId="0" borderId="11" xfId="0" applyFont="1" applyBorder="1"/>
    <xf numFmtId="0" fontId="15" fillId="0" borderId="11" xfId="0" applyFont="1" applyBorder="1"/>
    <xf numFmtId="9" fontId="9" fillId="13" borderId="0" xfId="0" applyNumberFormat="1" applyFont="1" applyFill="1" applyAlignment="1">
      <alignment horizontal="center"/>
    </xf>
    <xf numFmtId="188" fontId="2" fillId="19" borderId="0" xfId="0" applyNumberFormat="1" applyFont="1" applyFill="1" applyAlignment="1">
      <alignment horizontal="center"/>
    </xf>
    <xf numFmtId="0" fontId="9" fillId="0" borderId="11" xfId="0" applyNumberFormat="1" applyFont="1" applyBorder="1" applyAlignment="1">
      <alignment horizontal="center"/>
    </xf>
  </cellXfs>
  <cellStyles count="1">
    <cellStyle name="Normal" xfId="0" builtinId="0"/>
  </cellStyles>
  <dxfs count="44">
    <dxf>
      <font>
        <color rgb="FF0000FF"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&quot;€&quot;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$-409]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[$$-409]#,##0.00"/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font>
        <b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font>
        <b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Reparto objetivo de tus 175 €/mes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'PLAN Y RIESGOS'!$A$26:$A$30</c:f>
              <c:strCache>
                <c:ptCount val="5"/>
                <c:pt idx="0">
                  <c:v>Bitcoin (BTC)</c:v>
                </c:pt>
                <c:pt idx="1">
                  <c:v>Ethereum (ETH)</c:v>
                </c:pt>
                <c:pt idx="2">
                  <c:v>Cosmos (ATOM)</c:v>
                </c:pt>
                <c:pt idx="3">
                  <c:v>Celestia (TIA)</c:v>
                </c:pt>
                <c:pt idx="4">
                  <c:v>USDC (colchón)</c:v>
                </c:pt>
              </c:strCache>
            </c:strRef>
          </c:cat>
          <c:val>
            <c:numRef>
              <c:f>'PLAN Y RIESGOS'!$B$26:$B$30</c:f>
              <c:numCache>
                <c:formatCode>0%</c:formatCode>
                <c:ptCount val="5"/>
                <c:pt idx="0">
                  <c:v>0.4</c:v>
                </c:pt>
                <c:pt idx="1">
                  <c:v>0.3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C-4146-9F77-F8A973F932D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'PLAN Y RIESGOS'!$A$26:$A$30</c:f>
              <c:strCache>
                <c:ptCount val="5"/>
                <c:pt idx="0">
                  <c:v>Bitcoin (BTC)</c:v>
                </c:pt>
                <c:pt idx="1">
                  <c:v>Ethereum (ETH)</c:v>
                </c:pt>
                <c:pt idx="2">
                  <c:v>Cosmos (ATOM)</c:v>
                </c:pt>
                <c:pt idx="3">
                  <c:v>Celestia (TIA)</c:v>
                </c:pt>
                <c:pt idx="4">
                  <c:v>USDC (colchón)</c:v>
                </c:pt>
              </c:strCache>
            </c:strRef>
          </c:cat>
          <c:val>
            <c:numRef>
              <c:f>'PLAN Y RIESGOS'!$C$26:$C$30</c:f>
              <c:numCache>
                <c:formatCode>#,##0.00\ \€</c:formatCode>
                <c:ptCount val="5"/>
                <c:pt idx="0">
                  <c:v>70</c:v>
                </c:pt>
                <c:pt idx="1">
                  <c:v>52.5</c:v>
                </c:pt>
                <c:pt idx="2">
                  <c:v>26.25</c:v>
                </c:pt>
                <c:pt idx="3">
                  <c:v>17.5</c:v>
                </c:pt>
                <c:pt idx="4">
                  <c:v>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1C-4146-9F77-F8A973F93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Proyección de la cartera (aportando 175 €/mes)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Conservador (5%)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'PLAN Y RIESGOS'!$A$40:$A$43</c:f>
              <c:numCache>
                <c:formatCode>0\ "años"</c:formatCode>
                <c:ptCount val="4"/>
                <c:pt idx="0" formatCode="0\ &quot;año&quot;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</c:numCache>
            </c:numRef>
          </c:cat>
          <c:val>
            <c:numRef>
              <c:f>'PLAN Y RIESGOS'!$B$40:$B$43</c:f>
              <c:numCache>
                <c:formatCode>#,##0\ \€</c:formatCode>
                <c:ptCount val="4"/>
                <c:pt idx="0">
                  <c:v>5012.7035181069714</c:v>
                </c:pt>
                <c:pt idx="1">
                  <c:v>9946.2794135048043</c:v>
                </c:pt>
                <c:pt idx="2">
                  <c:v>15397.591352444062</c:v>
                </c:pt>
                <c:pt idx="3">
                  <c:v>31661.69698735734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6E-41CA-8FD6-293740776CE8}"/>
            </c:ext>
          </c:extLst>
        </c:ser>
        <c:ser>
          <c:idx val="1"/>
          <c:order val="1"/>
          <c:tx>
            <c:v>Base (15%)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'PLAN Y RIESGOS'!$A$40:$A$43</c:f>
              <c:numCache>
                <c:formatCode>0\ "años"</c:formatCode>
                <c:ptCount val="4"/>
                <c:pt idx="0" formatCode="0\ &quot;año&quot;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</c:numCache>
            </c:numRef>
          </c:cat>
          <c:val>
            <c:numRef>
              <c:f>'PLAN Y RIESGOS'!$C$40:$C$43</c:f>
              <c:numCache>
                <c:formatCode>#,##0\ \€</c:formatCode>
                <c:ptCount val="4"/>
                <c:pt idx="0">
                  <c:v>5413.0535258655254</c:v>
                </c:pt>
                <c:pt idx="1">
                  <c:v>12156.198059824934</c:v>
                </c:pt>
                <c:pt idx="2">
                  <c:v>21241.580930750933</c:v>
                </c:pt>
                <c:pt idx="3">
                  <c:v>60260.401974350847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6E-41CA-8FD6-293740776CE8}"/>
            </c:ext>
          </c:extLst>
        </c:ser>
        <c:ser>
          <c:idx val="2"/>
          <c:order val="2"/>
          <c:tx>
            <c:v>Optimista (30%)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'PLAN Y RIESGOS'!$A$40:$A$43</c:f>
              <c:numCache>
                <c:formatCode>0\ "años"</c:formatCode>
                <c:ptCount val="4"/>
                <c:pt idx="0" formatCode="0\ &quot;año&quot;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</c:numCache>
            </c:numRef>
          </c:cat>
          <c:val>
            <c:numRef>
              <c:f>'PLAN Y RIESGOS'!$D$40:$D$43</c:f>
              <c:numCache>
                <c:formatCode>#,##0\ \€</c:formatCode>
                <c:ptCount val="4"/>
                <c:pt idx="0">
                  <c:v>6078.3882807174468</c:v>
                </c:pt>
                <c:pt idx="1">
                  <c:v>16655.220262050469</c:v>
                </c:pt>
                <c:pt idx="2">
                  <c:v>35785.810731062527</c:v>
                </c:pt>
                <c:pt idx="3">
                  <c:v>181248.57144926922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6E-41CA-8FD6-293740776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970112"/>
        <c:axId val="1089969752"/>
      </c:lineChart>
      <c:catAx>
        <c:axId val="108997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\ &quot;año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9969752"/>
        <c:crosses val="autoZero"/>
        <c:auto val="1"/>
        <c:lblAlgn val="ctr"/>
        <c:lblOffset val="100"/>
        <c:noMultiLvlLbl val="0"/>
      </c:catAx>
      <c:valAx>
        <c:axId val="108996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\€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997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81AC2F-A88D-2573-38F6-3F9B05C14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6602EFF-AF7B-B921-7DC8-AFC80F67D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6F3C05-B854-4F93-93A6-6C81F5AB2D6E}" name="Movimientos" displayName="Movimientos" ref="A1:H41" totalsRowShown="0">
  <autoFilter ref="A1:H41" xr:uid="{E56F3C05-B854-4F93-93A6-6C81F5AB2D6E}"/>
  <tableColumns count="8">
    <tableColumn id="1" xr3:uid="{259B53AC-9EE5-45A4-8E5F-BA0C1AF812FA}" name="FECHA"/>
    <tableColumn id="2" xr3:uid="{D693B162-1D72-41CA-8C9D-1247F945E4CA}" name="TOKEN"/>
    <tableColumn id="3" xr3:uid="{2520B1F5-E8D2-4F46-B773-A1C9BA0CEFC7}" name="CLASE" dataDxfId="23"/>
    <tableColumn id="4" xr3:uid="{3F39357B-326A-4FA1-A611-E50571FDB4CF}" name="PRECIO (USD)"/>
    <tableColumn id="5" xr3:uid="{3BF6628E-D850-4296-A9B0-F3F1A3E789F6}" name="CANTIDAD"/>
    <tableColumn id="6" xr3:uid="{E64001D4-C4C1-4F4E-A88D-415895873512}" name="TOTAL (USD)"/>
    <tableColumn id="7" xr3:uid="{DD113EB5-2AF1-4EE8-894F-FC8DA5F84910}" name="COSTE (€)">
      <calculatedColumnFormula>F2*RESUMEN!$B$3</calculatedColumnFormula>
    </tableColumn>
    <tableColumn id="8" xr3:uid="{BAE37E07-5E12-44F9-80AF-25EF573632EE}" name="OBSERVACIONES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D79E01-0AEB-4EA1-AB62-FF6F8D092949}" name="Precios" displayName="Precios" ref="A1:D8" totalsRowShown="0">
  <autoFilter ref="A1:D8" xr:uid="{CED79E01-0AEB-4EA1-AB62-FF6F8D092949}"/>
  <tableColumns count="4">
    <tableColumn id="1" xr3:uid="{6D377DAA-1F56-4FAE-901A-B2ADED4202A6}" name="TOKEN" dataDxfId="1"/>
    <tableColumn id="2" xr3:uid="{2A0F53FB-98F1-4EAB-A97E-BF304A9CE1D8}" name="PRECIO (USD)" dataDxfId="0"/>
    <tableColumn id="3" xr3:uid="{20A897FE-C4EC-46BF-8D20-EC80F95D7051}" name="FUENTE"/>
    <tableColumn id="4" xr3:uid="{D9CC2D05-3502-439A-BA3D-55A4C123321E}" name="FECH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13185E-3A41-488B-9D7A-225E1A9ED023}" name="Tabla1" displayName="Tabla1" ref="A4:F19" totalsRowShown="0" headerRowDxfId="12" dataDxfId="42" headerRowBorderDxfId="43" tableBorderDxfId="41">
  <autoFilter ref="A4:F19" xr:uid="{6913185E-3A41-488B-9D7A-225E1A9ED023}"/>
  <sortState xmlns:xlrd2="http://schemas.microsoft.com/office/spreadsheetml/2017/richdata2" ref="A5:F19">
    <sortCondition ref="A4:A19"/>
  </sortState>
  <tableColumns count="6">
    <tableColumn id="1" xr3:uid="{1B531353-10EE-4159-90E9-4487561700D6}" name="FECHA" dataDxfId="18"/>
    <tableColumn id="2" xr3:uid="{7352B3D2-B0DA-402F-958D-3C395840ADF5}" name="EUROS" dataDxfId="17"/>
    <tableColumn id="7" xr3:uid="{6F99E033-99EB-434E-84CB-5D66D0D8B5D3}" name="COMISION" dataDxfId="16"/>
    <tableColumn id="5" xr3:uid="{3A7EEEE9-94E2-49AD-AAF8-826A5B4C5AFC}" name="MONEDA" dataDxfId="15"/>
    <tableColumn id="3" xr3:uid="{AD4F4B0D-28C3-40DE-BCA9-6FF952AD25B7}" name="CANTIDAD" dataDxfId="14"/>
    <tableColumn id="8" xr3:uid="{1D0D0576-81F8-4E43-A68A-9C87569C4A86}" name="COSTE UNITARIO (€)" dataDxfId="1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18AF84-3F19-464F-AD60-2F0AF8F9991A}" name="Tabla3" displayName="Tabla3" ref="G6:H12" totalsRowShown="0" headerRowDxfId="19" dataDxfId="40" tableBorderDxfId="39">
  <autoFilter ref="G6:H12" xr:uid="{7A18AF84-3F19-464F-AD60-2F0AF8F9991A}"/>
  <tableColumns count="2">
    <tableColumn id="1" xr3:uid="{6194FFE9-F8A5-4C80-B1AC-E2F51B5FD1A7}" name="TOKEN" dataDxfId="21"/>
    <tableColumn id="2" xr3:uid="{D22730DC-6506-4EA8-AECB-3006E1F0F9D6}" name="PRECIO" dataDxfId="2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691CAE-6162-481C-968B-B7398862581B}" name="Tabla13" displayName="Tabla13" ref="A4:F22" totalsRowShown="0" headerRowDxfId="5" dataDxfId="37" headerRowBorderDxfId="38" tableBorderDxfId="36">
  <autoFilter ref="A4:F22" xr:uid="{3C691CAE-6162-481C-968B-B7398862581B}"/>
  <sortState xmlns:xlrd2="http://schemas.microsoft.com/office/spreadsheetml/2017/richdata2" ref="A5:F22">
    <sortCondition ref="A4:A22"/>
  </sortState>
  <tableColumns count="6">
    <tableColumn id="1" xr3:uid="{6A994586-60C7-4804-8E5A-1C627A873CD7}" name="FECHA" dataDxfId="11"/>
    <tableColumn id="2" xr3:uid="{277432B0-3374-468B-8B5A-ED45245E3CB4}" name="EUROS" dataDxfId="10"/>
    <tableColumn id="7" xr3:uid="{23D76D11-319F-42FE-A960-DDC6C7E8EE6C}" name="COMISION" dataDxfId="9"/>
    <tableColumn id="5" xr3:uid="{27541110-2B8E-44CA-884F-A89FEA800142}" name="MONEDA" dataDxfId="8"/>
    <tableColumn id="3" xr3:uid="{5BF99853-A116-4299-A70C-D82CB05C7B07}" name="CANTIDAD" dataDxfId="7"/>
    <tableColumn id="8" xr3:uid="{49502280-88BC-48EF-84F8-435F064D4B17}" name="COSTE UNITARIO (€)" dataDxfId="6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C07ACD-EF3B-41A5-854E-705AB7A2037A}" name="Tabla35" displayName="Tabla35" ref="G6:H12" totalsRowShown="0" headerRowDxfId="2" dataDxfId="35" tableBorderDxfId="34">
  <autoFilter ref="G6:H12" xr:uid="{E4C07ACD-EF3B-41A5-854E-705AB7A2037A}"/>
  <tableColumns count="2">
    <tableColumn id="1" xr3:uid="{D9BA8BD8-2E57-4F2C-83B3-92ADD0A0110E}" name="TOKEN" dataDxfId="4"/>
    <tableColumn id="2" xr3:uid="{D926CA89-3A3A-47A9-B3C5-926F50A510A6}" name="PRECIO" dataDxfId="3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0215183-8D12-4136-92A5-D5A94AF1B863}" name="Tabla110" displayName="Tabla110" ref="A3:F18" totalsRowShown="0" headerRowDxfId="33" dataDxfId="31" headerRowBorderDxfId="32" tableBorderDxfId="30">
  <autoFilter ref="A3:F18" xr:uid="{80215183-8D12-4136-92A5-D5A94AF1B863}"/>
  <tableColumns count="6">
    <tableColumn id="1" xr3:uid="{791BA762-3CCF-4C3E-B52B-C07A6E3B01F5}" name="FECHA" dataDxfId="29"/>
    <tableColumn id="2" xr3:uid="{C1917BFA-ED21-44E7-A3AB-3567619D4B0B}" name="DOLARES" dataDxfId="28"/>
    <tableColumn id="5" xr3:uid="{BFD18105-87EF-4C7A-B838-DCFBA9B473E8}" name="MONEDA 1" dataDxfId="27"/>
    <tableColumn id="3" xr3:uid="{6742C82D-69F8-4A1B-AD12-FDE2939BF575}" name="MONEDA 2" dataDxfId="26"/>
    <tableColumn id="4" xr3:uid="{861A2C9A-13AE-4286-91F2-5D659C65015E}" name="VOLUMEN" dataDxfId="25"/>
    <tableColumn id="8" xr3:uid="{33E596F3-C3B5-49E3-A267-2117EB909F75}" name="PRECIO TRADE" dataDxfId="24">
      <calculatedColumnFormula>Tabla110[[#This Row],[DOLARES]]/Tabla110[[#This Row],[VOLUMEN]]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81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758E83-0607-46C1-9D78-171BB867CB36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81225763-0fd8-46e4-a6ca-255dd13df5c6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4CDF-AA9D-4674-AC02-60D7B9BE48EF}">
  <dimension ref="A1:H41"/>
  <sheetViews>
    <sheetView workbookViewId="0">
      <pane ySplit="1" topLeftCell="A7" activePane="bottomLeft" state="frozen"/>
      <selection pane="bottomLeft" activeCell="D35" sqref="D35"/>
    </sheetView>
  </sheetViews>
  <sheetFormatPr baseColWidth="10" defaultRowHeight="14.5" x14ac:dyDescent="0.35"/>
  <cols>
    <col min="1" max="1" width="21.81640625" customWidth="1"/>
    <col min="2" max="8" width="17.26953125" customWidth="1"/>
    <col min="9" max="14" width="16.36328125" customWidth="1"/>
  </cols>
  <sheetData>
    <row r="1" spans="1:8" ht="18.5" x14ac:dyDescent="0.45">
      <c r="A1" s="28" t="s">
        <v>29</v>
      </c>
      <c r="B1" s="28"/>
      <c r="C1" s="28"/>
      <c r="D1" s="28"/>
      <c r="E1" s="28"/>
      <c r="F1" s="28"/>
      <c r="G1" s="28"/>
      <c r="H1" s="28"/>
    </row>
    <row r="3" spans="1:8" x14ac:dyDescent="0.35">
      <c r="A3" s="3" t="s">
        <v>75</v>
      </c>
      <c r="B3" s="27">
        <v>0.85</v>
      </c>
    </row>
    <row r="4" spans="1:8" x14ac:dyDescent="0.35">
      <c r="A4" s="3" t="s">
        <v>55</v>
      </c>
      <c r="B4" s="69">
        <f>PRECIOS!D2</f>
        <v>46265</v>
      </c>
    </row>
    <row r="6" spans="1:8" ht="32" customHeight="1" x14ac:dyDescent="0.35">
      <c r="A6" s="30" t="s">
        <v>56</v>
      </c>
      <c r="B6" s="30"/>
      <c r="C6" s="30"/>
      <c r="D6" s="30"/>
      <c r="E6" s="30"/>
      <c r="F6" s="30"/>
      <c r="G6" s="30"/>
      <c r="H6" s="30"/>
    </row>
    <row r="7" spans="1:8" ht="30" customHeight="1" x14ac:dyDescent="0.35">
      <c r="A7" s="41" t="s">
        <v>13</v>
      </c>
      <c r="B7" s="41" t="s">
        <v>2</v>
      </c>
      <c r="C7" s="41" t="s">
        <v>44</v>
      </c>
      <c r="D7" s="41" t="s">
        <v>57</v>
      </c>
      <c r="E7" s="41" t="s">
        <v>58</v>
      </c>
      <c r="F7" s="41" t="s">
        <v>59</v>
      </c>
      <c r="G7" s="41" t="s">
        <v>45</v>
      </c>
      <c r="H7" s="41" t="s">
        <v>30</v>
      </c>
    </row>
    <row r="8" spans="1:8" x14ac:dyDescent="0.35">
      <c r="A8" s="75" t="s">
        <v>27</v>
      </c>
      <c r="B8" s="40">
        <f>SUMIFS(Movimientos[CANTIDAD],Movimientos[TOKEN],$A8)</f>
        <v>1.4245999999999998E-2</v>
      </c>
      <c r="C8" s="73">
        <f>SUMIFS(Movimientos[TOTAL (USD)],Movimientos[TOKEN],$A8)</f>
        <v>879.43999999999994</v>
      </c>
      <c r="D8" s="31">
        <f>IF(B8=0,"",C8/B8)</f>
        <v>61732.416116804721</v>
      </c>
      <c r="E8" s="74">
        <f>_xlfn.XLOOKUP($A8,Precios[TOKEN],Precios[PRECIO (USD)])</f>
        <v>80041.72</v>
      </c>
      <c r="F8" s="73">
        <f>B8*E8</f>
        <v>1140.2743431199999</v>
      </c>
      <c r="G8" s="73">
        <f>F8-C8</f>
        <v>260.83434311999997</v>
      </c>
      <c r="H8" s="29">
        <f>IF(C8=0,"",G8/C8)</f>
        <v>0.29659140261984901</v>
      </c>
    </row>
    <row r="9" spans="1:8" x14ac:dyDescent="0.35">
      <c r="A9" s="75" t="s">
        <v>9</v>
      </c>
      <c r="B9" s="40">
        <f>SUMIFS(Movimientos[CANTIDAD],Movimientos[TOKEN],$A9)</f>
        <v>0.51450000000000007</v>
      </c>
      <c r="C9" s="73">
        <f>SUMIFS(Movimientos[TOTAL (USD)],Movimientos[TOKEN],$A9)</f>
        <v>968.1732639999999</v>
      </c>
      <c r="D9" s="31">
        <f t="shared" ref="D9:D11" si="0">IF(B9=0,"",C9/B9)</f>
        <v>1881.7750515063165</v>
      </c>
      <c r="E9" s="74">
        <f>_xlfn.XLOOKUP($A9,Precios[TOKEN],Precios[PRECIO (USD)])</f>
        <v>2488.52</v>
      </c>
      <c r="F9" s="73">
        <f t="shared" ref="F9:F11" si="1">B9*E9</f>
        <v>1280.3435400000001</v>
      </c>
      <c r="G9" s="73">
        <f t="shared" ref="G9:G12" si="2">F9-C9</f>
        <v>312.17027600000017</v>
      </c>
      <c r="H9" s="29">
        <f t="shared" ref="H9:H12" si="3">IF(C9=0,"",G9/C9)</f>
        <v>0.32243224183889485</v>
      </c>
    </row>
    <row r="10" spans="1:8" x14ac:dyDescent="0.35">
      <c r="A10" s="75" t="s">
        <v>18</v>
      </c>
      <c r="B10" s="40">
        <f>SUMIFS(Movimientos[CANTIDAD],Movimientos[TOKEN],$A10)</f>
        <v>713.68000000000006</v>
      </c>
      <c r="C10" s="73">
        <f>SUMIFS(Movimientos[TOTAL (USD)],Movimientos[TOKEN],$A10)</f>
        <v>1123.1500000000001</v>
      </c>
      <c r="D10" s="31">
        <f t="shared" si="0"/>
        <v>1.5737445353659902</v>
      </c>
      <c r="E10" s="74">
        <f>_xlfn.XLOOKUP($A10,Precios[TOKEN],Precios[PRECIO (USD)])</f>
        <v>1.5441</v>
      </c>
      <c r="F10" s="73">
        <f t="shared" si="1"/>
        <v>1101.9932880000001</v>
      </c>
      <c r="G10" s="73">
        <f t="shared" si="2"/>
        <v>-21.15671199999997</v>
      </c>
      <c r="H10" s="29">
        <f t="shared" si="3"/>
        <v>-1.883694252771221E-2</v>
      </c>
    </row>
    <row r="11" spans="1:8" x14ac:dyDescent="0.35">
      <c r="A11" s="75" t="s">
        <v>19</v>
      </c>
      <c r="B11" s="40">
        <f>SUMIFS(Movimientos[CANTIDAD],Movimientos[TOKEN],$A11)</f>
        <v>423.85</v>
      </c>
      <c r="C11" s="73">
        <f>SUMIFS(Movimientos[TOTAL (USD)],Movimientos[TOKEN],$A11)</f>
        <v>213.47</v>
      </c>
      <c r="D11" s="31">
        <f t="shared" si="0"/>
        <v>0.5036451574849593</v>
      </c>
      <c r="E11" s="74">
        <f>_xlfn.XLOOKUP($A11,Precios[TOKEN],Precios[PRECIO (USD)])</f>
        <v>0.37559999999999999</v>
      </c>
      <c r="F11" s="73">
        <f t="shared" si="1"/>
        <v>159.19806</v>
      </c>
      <c r="G11" s="73">
        <f t="shared" si="2"/>
        <v>-54.271940000000001</v>
      </c>
      <c r="H11" s="29">
        <f t="shared" si="3"/>
        <v>-0.25423684826907761</v>
      </c>
    </row>
    <row r="12" spans="1:8" ht="15" thickBot="1" x14ac:dyDescent="0.4">
      <c r="A12" s="42" t="s">
        <v>31</v>
      </c>
      <c r="B12" s="42"/>
      <c r="C12" s="76">
        <f>SUM(C8:C11)</f>
        <v>3184.233264</v>
      </c>
      <c r="D12" s="42"/>
      <c r="E12" s="42"/>
      <c r="F12" s="76">
        <f>SUM(F8:F11)</f>
        <v>3681.8092311200003</v>
      </c>
      <c r="G12" s="76">
        <f>SUM(G8:G11)</f>
        <v>497.5759671200002</v>
      </c>
      <c r="H12" s="77">
        <f>IF(C12=0,"",G12/C12)</f>
        <v>0.15626241103170643</v>
      </c>
    </row>
    <row r="13" spans="1:8" ht="15" thickTop="1" x14ac:dyDescent="0.35"/>
    <row r="14" spans="1:8" x14ac:dyDescent="0.35">
      <c r="A14" s="70" t="s">
        <v>60</v>
      </c>
      <c r="B14" s="70"/>
      <c r="C14" s="70"/>
      <c r="D14" s="70"/>
      <c r="E14" s="70"/>
      <c r="F14" s="70"/>
      <c r="G14" s="70"/>
      <c r="H14" s="70"/>
    </row>
    <row r="15" spans="1:8" ht="18" customHeight="1" x14ac:dyDescent="0.35">
      <c r="A15" s="84" t="s">
        <v>13</v>
      </c>
      <c r="B15" s="84" t="s">
        <v>2</v>
      </c>
      <c r="C15" s="84"/>
      <c r="D15" s="84"/>
      <c r="E15" s="84" t="s">
        <v>58</v>
      </c>
      <c r="F15" s="84" t="s">
        <v>59</v>
      </c>
      <c r="G15" s="84" t="s">
        <v>61</v>
      </c>
      <c r="H15" s="84"/>
    </row>
    <row r="16" spans="1:8" x14ac:dyDescent="0.35">
      <c r="A16" s="83" t="s">
        <v>40</v>
      </c>
      <c r="B16" s="78">
        <f>SUMIFS(Movimientos[CANTIDAD],Movimientos[TOKEN],$A16)</f>
        <v>969.79</v>
      </c>
      <c r="C16" s="79"/>
      <c r="D16" s="79"/>
      <c r="E16" s="80">
        <f>_xlfn.XLOOKUP($A16,Precios[TOKEN],Precios[PRECIO (USD)])</f>
        <v>8.9969999999999994E-2</v>
      </c>
      <c r="F16" s="81">
        <f>B16*E16</f>
        <v>87.252006299999991</v>
      </c>
      <c r="G16" s="85" t="s">
        <v>62</v>
      </c>
      <c r="H16" s="82"/>
    </row>
    <row r="17" spans="1:8" x14ac:dyDescent="0.35">
      <c r="A17" s="83" t="s">
        <v>41</v>
      </c>
      <c r="B17" s="78">
        <f>SUMIFS(Movimientos[CANTIDAD],Movimientos[TOKEN],$A17)</f>
        <v>13.27</v>
      </c>
      <c r="C17" s="79"/>
      <c r="D17" s="79"/>
      <c r="E17" s="80">
        <f>_xlfn.XLOOKUP($A17,Precios[TOKEN],Precios[PRECIO (USD)])</f>
        <v>0.13569999999999999</v>
      </c>
      <c r="F17" s="81">
        <f t="shared" ref="F17:F18" si="4">B17*E17</f>
        <v>1.8007389999999999</v>
      </c>
      <c r="G17" s="85" t="s">
        <v>63</v>
      </c>
      <c r="H17" s="82"/>
    </row>
    <row r="18" spans="1:8" x14ac:dyDescent="0.35">
      <c r="A18" s="83" t="s">
        <v>39</v>
      </c>
      <c r="B18" s="78">
        <f>SUMIFS(Movimientos[CANTIDAD],Movimientos[TOKEN],$A18)</f>
        <v>1271</v>
      </c>
      <c r="C18" s="79"/>
      <c r="D18" s="79"/>
      <c r="E18" s="80">
        <f>_xlfn.XLOOKUP($A18,Precios[TOKEN],Precios[PRECIO (USD)])</f>
        <v>7.0560000000000002E-5</v>
      </c>
      <c r="F18" s="81">
        <f t="shared" si="4"/>
        <v>8.9681759999999999E-2</v>
      </c>
      <c r="G18" s="85" t="s">
        <v>42</v>
      </c>
      <c r="H18" s="82"/>
    </row>
    <row r="20" spans="1:8" x14ac:dyDescent="0.35">
      <c r="A20" s="86" t="s">
        <v>64</v>
      </c>
      <c r="B20" s="87"/>
      <c r="D20" s="92" t="s">
        <v>71</v>
      </c>
      <c r="E20" s="93"/>
    </row>
    <row r="21" spans="1:8" x14ac:dyDescent="0.35">
      <c r="A21" s="88" t="s">
        <v>65</v>
      </c>
      <c r="B21" s="89">
        <f>C12</f>
        <v>3184.233264</v>
      </c>
      <c r="D21" s="88" t="s">
        <v>49</v>
      </c>
      <c r="E21" s="94">
        <v>3110.38</v>
      </c>
    </row>
    <row r="22" spans="1:8" x14ac:dyDescent="0.35">
      <c r="A22" s="88" t="s">
        <v>66</v>
      </c>
      <c r="B22" s="89">
        <f>F12</f>
        <v>3681.8092311200003</v>
      </c>
      <c r="D22" s="88" t="s">
        <v>47</v>
      </c>
      <c r="E22" s="94">
        <v>3771</v>
      </c>
    </row>
    <row r="23" spans="1:8" x14ac:dyDescent="0.35">
      <c r="A23" s="88" t="s">
        <v>67</v>
      </c>
      <c r="B23" s="89">
        <f>SUM(F16:F18)</f>
        <v>89.142427059999989</v>
      </c>
      <c r="D23" s="88" t="s">
        <v>50</v>
      </c>
      <c r="E23" s="94">
        <v>660.62</v>
      </c>
    </row>
    <row r="24" spans="1:8" x14ac:dyDescent="0.35">
      <c r="A24" s="88" t="s">
        <v>68</v>
      </c>
      <c r="B24" s="89">
        <f>F12+SUM(F16:F18)</f>
        <v>3770.9516581800003</v>
      </c>
      <c r="D24" s="88" t="s">
        <v>72</v>
      </c>
      <c r="E24" s="95">
        <v>0.21240000000000001</v>
      </c>
    </row>
    <row r="25" spans="1:8" x14ac:dyDescent="0.35">
      <c r="A25" s="88" t="s">
        <v>69</v>
      </c>
      <c r="B25" s="89">
        <f>B24-B21</f>
        <v>586.71839418000036</v>
      </c>
    </row>
    <row r="26" spans="1:8" x14ac:dyDescent="0.35">
      <c r="A26" s="88" t="s">
        <v>30</v>
      </c>
      <c r="B26" s="90">
        <f>IF(B21=0,"",B25/B21)</f>
        <v>0.18425735350901112</v>
      </c>
      <c r="D26" s="39" t="s">
        <v>73</v>
      </c>
      <c r="E26" s="72"/>
      <c r="F26" s="72"/>
      <c r="G26" s="72"/>
      <c r="H26" s="72"/>
    </row>
    <row r="27" spans="1:8" x14ac:dyDescent="0.35">
      <c r="A27" s="88" t="s">
        <v>70</v>
      </c>
      <c r="B27" s="91">
        <f>B25*$B$3</f>
        <v>498.71063505300032</v>
      </c>
    </row>
    <row r="30" spans="1:8" x14ac:dyDescent="0.35">
      <c r="A30" s="71" t="s">
        <v>74</v>
      </c>
      <c r="B30" s="71"/>
      <c r="C30" s="71"/>
      <c r="D30" s="71"/>
      <c r="E30" s="71"/>
      <c r="F30" s="71"/>
      <c r="G30" s="71"/>
      <c r="H30" s="71"/>
    </row>
    <row r="31" spans="1:8" ht="28" customHeight="1" x14ac:dyDescent="0.35">
      <c r="A31" s="103" t="s">
        <v>13</v>
      </c>
      <c r="B31" s="103" t="s">
        <v>46</v>
      </c>
    </row>
    <row r="32" spans="1:8" x14ac:dyDescent="0.35">
      <c r="A32" s="97" t="s">
        <v>20</v>
      </c>
      <c r="B32" s="98">
        <f>SUMIFS('2025'!$B:$B,'2025'!$D:$D,$A32)+SUMIFS('2025'!$C:$C,'2025'!$D:$D,$A32)+SUMIFS('2026'!$B:$B,'2026'!$D:$D,$A32)+SUMIFS('2026'!$C:$C,'2026'!$D:$D,$A32)</f>
        <v>126.46000000000001</v>
      </c>
      <c r="C32" s="96"/>
      <c r="D32" s="96"/>
      <c r="E32" s="96"/>
      <c r="F32" s="96"/>
      <c r="G32" s="96"/>
      <c r="H32" s="96"/>
    </row>
    <row r="33" spans="1:8" x14ac:dyDescent="0.35">
      <c r="A33" s="97" t="s">
        <v>17</v>
      </c>
      <c r="B33" s="98">
        <f>SUMIFS('2025'!$B:$B,'2025'!$D:$D,$A33)+SUMIFS('2025'!$C:$C,'2025'!$D:$D,$A33)+SUMIFS('2026'!$B:$B,'2026'!$D:$D,$A33)+SUMIFS('2026'!$C:$C,'2026'!$D:$D,$A33)</f>
        <v>164.06</v>
      </c>
      <c r="C33" s="96"/>
      <c r="D33" s="96"/>
      <c r="E33" s="96"/>
      <c r="F33" s="96"/>
      <c r="G33" s="96"/>
      <c r="H33" s="96"/>
    </row>
    <row r="34" spans="1:8" x14ac:dyDescent="0.35">
      <c r="A34" s="97" t="s">
        <v>21</v>
      </c>
      <c r="B34" s="98">
        <f>SUMIFS('2025'!$B:$B,'2025'!$D:$D,$A34)+SUMIFS('2025'!$C:$C,'2025'!$D:$D,$A34)+SUMIFS('2026'!$B:$B,'2026'!$D:$D,$A34)+SUMIFS('2026'!$C:$C,'2026'!$D:$D,$A34)</f>
        <v>76.460000000000008</v>
      </c>
      <c r="C34" s="96"/>
      <c r="D34" s="96" t="s">
        <v>127</v>
      </c>
      <c r="E34" s="96"/>
      <c r="F34" s="96"/>
      <c r="G34" s="96"/>
      <c r="H34" s="96"/>
    </row>
    <row r="35" spans="1:8" x14ac:dyDescent="0.35">
      <c r="A35" s="97" t="s">
        <v>4</v>
      </c>
      <c r="B35" s="98">
        <f>SUMIFS('2025'!$B:$B,'2025'!$D:$D,$A35)+SUMIFS('2025'!$C:$C,'2025'!$D:$D,$A35)+SUMIFS('2026'!$B:$B,'2026'!$D:$D,$A35)+SUMIFS('2026'!$C:$C,'2026'!$D:$D,$A35)</f>
        <v>142.93</v>
      </c>
      <c r="C35" s="96"/>
      <c r="D35" s="96"/>
      <c r="E35" s="96"/>
      <c r="F35" s="96"/>
      <c r="G35" s="96"/>
      <c r="H35" s="96"/>
    </row>
    <row r="36" spans="1:8" x14ac:dyDescent="0.35">
      <c r="A36" s="97" t="s">
        <v>10</v>
      </c>
      <c r="B36" s="98">
        <f>SUMIFS('2025'!$B:$B,'2025'!$D:$D,$A36)+SUMIFS('2025'!$C:$C,'2025'!$D:$D,$A36)+SUMIFS('2026'!$B:$B,'2026'!$D:$D,$A36)+SUMIFS('2026'!$C:$C,'2026'!$D:$D,$A36)</f>
        <v>102</v>
      </c>
      <c r="C36" s="96"/>
      <c r="D36" s="96"/>
      <c r="E36" s="96"/>
      <c r="F36" s="96"/>
      <c r="G36" s="96"/>
      <c r="H36" s="96"/>
    </row>
    <row r="37" spans="1:8" x14ac:dyDescent="0.35">
      <c r="A37" s="97" t="s">
        <v>11</v>
      </c>
      <c r="B37" s="98">
        <f>SUMIFS('2025'!$B:$B,'2025'!$D:$D,$A37)+SUMIFS('2025'!$C:$C,'2025'!$D:$D,$A37)+SUMIFS('2026'!$B:$B,'2026'!$D:$D,$A37)+SUMIFS('2026'!$C:$C,'2026'!$D:$D,$A37)</f>
        <v>238</v>
      </c>
      <c r="C37" s="96"/>
      <c r="D37" s="96"/>
      <c r="E37" s="96"/>
      <c r="F37" s="96"/>
      <c r="G37" s="96"/>
      <c r="H37" s="96"/>
    </row>
    <row r="38" spans="1:8" x14ac:dyDescent="0.35">
      <c r="A38" s="97" t="s">
        <v>5</v>
      </c>
      <c r="B38" s="98">
        <f>SUMIFS('2025'!$B:$B,'2025'!$D:$D,$A38)+SUMIFS('2025'!$C:$C,'2025'!$D:$D,$A38)+SUMIFS('2026'!$B:$B,'2026'!$D:$D,$A38)+SUMIFS('2026'!$C:$C,'2026'!$D:$D,$A38)</f>
        <v>102</v>
      </c>
      <c r="C38" s="96"/>
      <c r="D38" s="96"/>
      <c r="E38" s="96"/>
      <c r="F38" s="96"/>
      <c r="G38" s="96"/>
      <c r="H38" s="96"/>
    </row>
    <row r="39" spans="1:8" x14ac:dyDescent="0.35">
      <c r="A39" s="97" t="s">
        <v>28</v>
      </c>
      <c r="B39" s="98">
        <f>SUMIFS('2025'!$B:$B,'2025'!$D:$D,$A39)+SUMIFS('2025'!$C:$C,'2025'!$D:$D,$A39)+SUMIFS('2026'!$B:$B,'2026'!$D:$D,$A39)+SUMIFS('2026'!$C:$C,'2026'!$D:$D,$A39)</f>
        <v>259</v>
      </c>
      <c r="C39" s="96"/>
      <c r="D39" s="96"/>
      <c r="E39" s="96"/>
      <c r="F39" s="96"/>
      <c r="G39" s="96"/>
      <c r="H39" s="96"/>
    </row>
    <row r="40" spans="1:8" x14ac:dyDescent="0.35">
      <c r="A40" s="97" t="s">
        <v>8</v>
      </c>
      <c r="B40" s="98">
        <f>SUMIFS('2025'!$B:$B,'2025'!$D:$D,$A40)+SUMIFS('2025'!$C:$C,'2025'!$D:$D,$A40)+SUMIFS('2026'!$B:$B,'2026'!$D:$D,$A40)+SUMIFS('2026'!$C:$C,'2026'!$D:$D,$A40)</f>
        <v>665.48</v>
      </c>
      <c r="C40" s="96"/>
      <c r="D40" s="96"/>
      <c r="E40" s="96"/>
      <c r="F40" s="96"/>
      <c r="G40" s="96"/>
      <c r="H40" s="96"/>
    </row>
    <row r="41" spans="1:8" x14ac:dyDescent="0.35">
      <c r="A41" s="99" t="s">
        <v>31</v>
      </c>
      <c r="B41" s="100">
        <f>SUM(B32:B40)</f>
        <v>1876.39</v>
      </c>
      <c r="C41" s="96"/>
      <c r="D41" s="96"/>
      <c r="E41" s="96"/>
      <c r="F41" s="96"/>
      <c r="G41" s="96"/>
      <c r="H41" s="96"/>
    </row>
  </sheetData>
  <mergeCells count="10">
    <mergeCell ref="D26:H26"/>
    <mergeCell ref="A20:B20"/>
    <mergeCell ref="D20:E20"/>
    <mergeCell ref="A1:H1"/>
    <mergeCell ref="A6:H6"/>
    <mergeCell ref="A14:H14"/>
    <mergeCell ref="A30:H30"/>
    <mergeCell ref="G16:H16"/>
    <mergeCell ref="G17:H17"/>
    <mergeCell ref="G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FB93-4007-473B-A2F5-ADDF9695A58E}">
  <dimension ref="A1:H86"/>
  <sheetViews>
    <sheetView tabSelected="1" topLeftCell="A62" workbookViewId="0">
      <selection activeCell="G41" sqref="G41"/>
    </sheetView>
  </sheetViews>
  <sheetFormatPr baseColWidth="10" defaultRowHeight="14.5" x14ac:dyDescent="0.35"/>
  <cols>
    <col min="1" max="1" width="30.90625" customWidth="1"/>
    <col min="2" max="3" width="17.26953125" customWidth="1"/>
    <col min="4" max="4" width="21.81640625" customWidth="1"/>
    <col min="5" max="8" width="17.26953125" customWidth="1"/>
  </cols>
  <sheetData>
    <row r="1" spans="1:8" ht="21" x14ac:dyDescent="0.5">
      <c r="A1" s="127" t="s">
        <v>76</v>
      </c>
      <c r="B1" s="127"/>
      <c r="C1" s="127"/>
      <c r="D1" s="127"/>
      <c r="E1" s="127"/>
      <c r="F1" s="127"/>
      <c r="G1" s="127"/>
      <c r="H1" s="127"/>
    </row>
    <row r="2" spans="1:8" x14ac:dyDescent="0.35">
      <c r="A2" s="128" t="s">
        <v>77</v>
      </c>
      <c r="B2" s="128"/>
      <c r="C2" s="128"/>
      <c r="D2" s="128"/>
      <c r="E2" s="128"/>
      <c r="F2" s="128"/>
      <c r="G2" s="128"/>
      <c r="H2" s="128"/>
    </row>
    <row r="4" spans="1:8" ht="15.5" x14ac:dyDescent="0.35">
      <c r="A4" s="30" t="s">
        <v>78</v>
      </c>
      <c r="B4" s="30"/>
      <c r="C4" s="30"/>
      <c r="D4" s="30"/>
      <c r="E4" s="30"/>
      <c r="F4" s="30"/>
      <c r="G4" s="30"/>
      <c r="H4" s="30"/>
    </row>
    <row r="5" spans="1:8" x14ac:dyDescent="0.35">
      <c r="A5" s="113" t="s">
        <v>79</v>
      </c>
      <c r="B5" s="113" t="s">
        <v>123</v>
      </c>
      <c r="C5" s="113" t="s">
        <v>80</v>
      </c>
      <c r="D5" s="113" t="s">
        <v>81</v>
      </c>
      <c r="E5" s="113" t="s">
        <v>82</v>
      </c>
    </row>
    <row r="6" spans="1:8" x14ac:dyDescent="0.35">
      <c r="A6" s="141" t="s">
        <v>83</v>
      </c>
      <c r="B6" s="122">
        <f>RESUMEN!F8*RESUMEN!B3</f>
        <v>969.23319165199985</v>
      </c>
      <c r="C6" s="137">
        <f>IF($B$11=0,"",B6/$B$11)</f>
        <v>0.30238370747779308</v>
      </c>
      <c r="D6" s="136" t="s">
        <v>88</v>
      </c>
      <c r="E6" s="136" t="s">
        <v>89</v>
      </c>
    </row>
    <row r="7" spans="1:8" x14ac:dyDescent="0.35">
      <c r="A7" s="141" t="s">
        <v>84</v>
      </c>
      <c r="B7" s="122">
        <f>RESUMEN!F9*RESUMEN!B3</f>
        <v>1088.292009</v>
      </c>
      <c r="C7" s="137">
        <f t="shared" ref="C7:C11" si="0">IF($B$11=0,"",B7/$B$11)</f>
        <v>0.33952796430647986</v>
      </c>
      <c r="D7" s="136" t="s">
        <v>88</v>
      </c>
      <c r="E7" s="136" t="s">
        <v>89</v>
      </c>
    </row>
    <row r="8" spans="1:8" x14ac:dyDescent="0.35">
      <c r="A8" s="141" t="s">
        <v>85</v>
      </c>
      <c r="B8" s="122">
        <f>RESUMEN!F10*RESUMEN!B3</f>
        <v>936.69429480000008</v>
      </c>
      <c r="C8" s="137">
        <f t="shared" si="0"/>
        <v>0.29223214400257325</v>
      </c>
      <c r="D8" s="136" t="s">
        <v>124</v>
      </c>
      <c r="E8" s="136" t="s">
        <v>90</v>
      </c>
    </row>
    <row r="9" spans="1:8" x14ac:dyDescent="0.35">
      <c r="A9" s="141" t="s">
        <v>86</v>
      </c>
      <c r="B9" s="122">
        <f>RESUMEN!F11*RESUMEN!B3</f>
        <v>135.31835100000001</v>
      </c>
      <c r="C9" s="137">
        <f t="shared" si="0"/>
        <v>4.2216945331204493E-2</v>
      </c>
      <c r="D9" s="136" t="s">
        <v>124</v>
      </c>
      <c r="E9" s="136" t="s">
        <v>91</v>
      </c>
    </row>
    <row r="10" spans="1:8" x14ac:dyDescent="0.35">
      <c r="A10" s="141" t="s">
        <v>87</v>
      </c>
      <c r="B10" s="122">
        <f>SUM(RESUMEN!F16:F18)*RESUMEN!B3</f>
        <v>75.771063000999987</v>
      </c>
      <c r="C10" s="137">
        <f t="shared" si="0"/>
        <v>2.3639238881949336E-2</v>
      </c>
      <c r="D10" s="136" t="s">
        <v>125</v>
      </c>
      <c r="E10" s="136" t="s">
        <v>91</v>
      </c>
    </row>
    <row r="11" spans="1:8" x14ac:dyDescent="0.35">
      <c r="A11" s="142" t="s">
        <v>31</v>
      </c>
      <c r="B11" s="139">
        <f>SUM(B6:B10)</f>
        <v>3205.3089094530001</v>
      </c>
      <c r="C11" s="140">
        <f t="shared" si="0"/>
        <v>1</v>
      </c>
      <c r="D11" s="138"/>
      <c r="E11" s="138"/>
    </row>
    <row r="13" spans="1:8" ht="15.5" x14ac:dyDescent="0.35">
      <c r="A13" s="30" t="s">
        <v>92</v>
      </c>
      <c r="B13" s="30"/>
      <c r="C13" s="30"/>
      <c r="D13" s="30"/>
      <c r="E13" s="30"/>
      <c r="F13" s="30"/>
      <c r="G13" s="30"/>
      <c r="H13" s="30"/>
    </row>
    <row r="14" spans="1:8" x14ac:dyDescent="0.35">
      <c r="A14" s="115" t="s">
        <v>93</v>
      </c>
      <c r="B14" s="118">
        <f>(B6+B7)/B11</f>
        <v>0.64191167178427289</v>
      </c>
      <c r="C14" s="141" t="s">
        <v>94</v>
      </c>
    </row>
    <row r="15" spans="1:8" x14ac:dyDescent="0.35">
      <c r="A15" s="115" t="s">
        <v>95</v>
      </c>
      <c r="B15" s="118">
        <f>(B8+B9)/B11</f>
        <v>0.3344490893337777</v>
      </c>
      <c r="C15" s="141" t="s">
        <v>96</v>
      </c>
    </row>
    <row r="16" spans="1:8" x14ac:dyDescent="0.35">
      <c r="A16" s="115" t="s">
        <v>126</v>
      </c>
      <c r="B16" s="118">
        <f>(B8+B9)/B11</f>
        <v>0.3344490893337777</v>
      </c>
      <c r="C16" s="141" t="s">
        <v>97</v>
      </c>
    </row>
    <row r="17" spans="1:8" x14ac:dyDescent="0.35">
      <c r="A17" s="115" t="s">
        <v>98</v>
      </c>
      <c r="B17" s="118">
        <f>MAX(B6:B9)/B11</f>
        <v>0.33952796430647986</v>
      </c>
      <c r="C17" s="141" t="s">
        <v>99</v>
      </c>
    </row>
    <row r="18" spans="1:8" x14ac:dyDescent="0.35">
      <c r="A18" s="115" t="s">
        <v>100</v>
      </c>
      <c r="B18" s="118">
        <f>B10/B11</f>
        <v>2.3639238881949336E-2</v>
      </c>
      <c r="C18" s="141" t="s">
        <v>101</v>
      </c>
    </row>
    <row r="19" spans="1:8" ht="70" customHeight="1" x14ac:dyDescent="0.35">
      <c r="A19" s="116" t="s">
        <v>102</v>
      </c>
      <c r="B19" s="72"/>
      <c r="C19" s="72"/>
      <c r="D19" s="72"/>
      <c r="E19" s="72"/>
      <c r="F19" s="72"/>
      <c r="G19" s="72"/>
      <c r="H19" s="72"/>
    </row>
    <row r="20" spans="1:8" x14ac:dyDescent="0.35">
      <c r="A20" s="72"/>
      <c r="B20" s="72"/>
      <c r="C20" s="72"/>
      <c r="D20" s="72"/>
      <c r="E20" s="72"/>
      <c r="F20" s="72"/>
      <c r="G20" s="72"/>
      <c r="H20" s="72"/>
    </row>
    <row r="21" spans="1:8" x14ac:dyDescent="0.35">
      <c r="A21" s="72"/>
      <c r="B21" s="72"/>
      <c r="C21" s="72"/>
      <c r="D21" s="72"/>
      <c r="E21" s="72"/>
      <c r="F21" s="72"/>
      <c r="G21" s="72"/>
      <c r="H21" s="72"/>
    </row>
    <row r="23" spans="1:8" ht="15.5" x14ac:dyDescent="0.35">
      <c r="A23" s="30" t="s">
        <v>103</v>
      </c>
      <c r="B23" s="30"/>
      <c r="C23" s="30"/>
      <c r="D23" s="30"/>
      <c r="E23" s="30"/>
      <c r="F23" s="30"/>
      <c r="G23" s="30"/>
      <c r="H23" s="30"/>
    </row>
    <row r="24" spans="1:8" x14ac:dyDescent="0.35">
      <c r="A24" s="3" t="s">
        <v>104</v>
      </c>
      <c r="B24" s="110">
        <v>175</v>
      </c>
      <c r="C24" s="38" t="s">
        <v>105</v>
      </c>
    </row>
    <row r="25" spans="1:8" x14ac:dyDescent="0.35">
      <c r="A25" s="113" t="s">
        <v>79</v>
      </c>
      <c r="B25" s="113" t="s">
        <v>106</v>
      </c>
      <c r="C25" s="113" t="s">
        <v>107</v>
      </c>
      <c r="D25" s="113" t="s">
        <v>108</v>
      </c>
      <c r="E25" s="113" t="s">
        <v>109</v>
      </c>
    </row>
    <row r="26" spans="1:8" x14ac:dyDescent="0.35">
      <c r="A26" s="114" t="s">
        <v>83</v>
      </c>
      <c r="B26" s="117">
        <v>0.4</v>
      </c>
      <c r="C26" s="129">
        <f>B26*$B$24</f>
        <v>70</v>
      </c>
      <c r="D26" s="118">
        <f>C6</f>
        <v>0.30238370747779308</v>
      </c>
      <c r="E26" s="114" t="str">
        <f>IF(D26&lt;B26,"Reforzar","Suficiente")</f>
        <v>Reforzar</v>
      </c>
    </row>
    <row r="27" spans="1:8" x14ac:dyDescent="0.35">
      <c r="A27" s="114" t="s">
        <v>84</v>
      </c>
      <c r="B27" s="117">
        <v>0.3</v>
      </c>
      <c r="C27" s="129">
        <f t="shared" ref="C27:C30" si="1">B27*$B$24</f>
        <v>52.5</v>
      </c>
      <c r="D27" s="118">
        <f>C7</f>
        <v>0.33952796430647986</v>
      </c>
      <c r="E27" s="114" t="str">
        <f t="shared" ref="E27:E30" si="2">IF(D27&lt;B27,"Reforzar","Suficiente")</f>
        <v>Suficiente</v>
      </c>
    </row>
    <row r="28" spans="1:8" x14ac:dyDescent="0.35">
      <c r="A28" s="114" t="s">
        <v>85</v>
      </c>
      <c r="B28" s="117">
        <v>0.15</v>
      </c>
      <c r="C28" s="129">
        <f t="shared" si="1"/>
        <v>26.25</v>
      </c>
      <c r="D28" s="118">
        <f>C8</f>
        <v>0.29223214400257325</v>
      </c>
      <c r="E28" s="114" t="str">
        <f t="shared" si="2"/>
        <v>Suficiente</v>
      </c>
    </row>
    <row r="29" spans="1:8" x14ac:dyDescent="0.35">
      <c r="A29" s="114" t="s">
        <v>86</v>
      </c>
      <c r="B29" s="117">
        <v>0.1</v>
      </c>
      <c r="C29" s="129">
        <f t="shared" si="1"/>
        <v>17.5</v>
      </c>
      <c r="D29" s="118">
        <f>C9</f>
        <v>4.2216945331204493E-2</v>
      </c>
      <c r="E29" s="114" t="str">
        <f t="shared" si="2"/>
        <v>Reforzar</v>
      </c>
    </row>
    <row r="30" spans="1:8" x14ac:dyDescent="0.35">
      <c r="A30" s="114" t="s">
        <v>110</v>
      </c>
      <c r="B30" s="117">
        <v>0.05</v>
      </c>
      <c r="C30" s="129">
        <f t="shared" si="1"/>
        <v>8.75</v>
      </c>
      <c r="D30" s="118">
        <v>0</v>
      </c>
      <c r="E30" s="114" t="str">
        <f t="shared" si="2"/>
        <v>Reforzar</v>
      </c>
    </row>
    <row r="31" spans="1:8" x14ac:dyDescent="0.35">
      <c r="A31" s="130" t="s">
        <v>31</v>
      </c>
      <c r="B31" s="130">
        <f>SUM(B26:B30)</f>
        <v>1</v>
      </c>
      <c r="C31" s="132">
        <f>SUM(C26:C30)</f>
        <v>175</v>
      </c>
      <c r="D31" s="130"/>
      <c r="E31" s="130"/>
    </row>
    <row r="32" spans="1:8" ht="52" customHeight="1" x14ac:dyDescent="0.35">
      <c r="A32" s="111" t="s">
        <v>111</v>
      </c>
      <c r="B32" s="72"/>
      <c r="C32" s="72"/>
      <c r="D32" s="72"/>
      <c r="E32" s="72"/>
      <c r="F32" s="72"/>
      <c r="G32" s="72"/>
      <c r="H32" s="72"/>
    </row>
    <row r="33" spans="1:8" x14ac:dyDescent="0.35">
      <c r="A33" s="72"/>
      <c r="B33" s="72"/>
      <c r="C33" s="72"/>
      <c r="D33" s="72"/>
      <c r="E33" s="72"/>
      <c r="F33" s="72"/>
      <c r="G33" s="72"/>
      <c r="H33" s="72"/>
    </row>
    <row r="35" spans="1:8" ht="15.5" x14ac:dyDescent="0.35">
      <c r="A35" s="30" t="s">
        <v>112</v>
      </c>
      <c r="B35" s="30"/>
      <c r="C35" s="30"/>
      <c r="D35" s="30"/>
      <c r="E35" s="30"/>
      <c r="F35" s="30"/>
      <c r="G35" s="30"/>
      <c r="H35" s="30"/>
    </row>
    <row r="36" spans="1:8" x14ac:dyDescent="0.35">
      <c r="A36" s="3" t="s">
        <v>113</v>
      </c>
      <c r="B36" s="112">
        <f>B11*RESUMEN!B3</f>
        <v>2724.5125730350501</v>
      </c>
      <c r="C36" s="38" t="s">
        <v>114</v>
      </c>
    </row>
    <row r="38" spans="1:8" x14ac:dyDescent="0.35">
      <c r="A38" s="113" t="s">
        <v>115</v>
      </c>
      <c r="B38" s="113" t="s">
        <v>116</v>
      </c>
      <c r="C38" s="133" t="s">
        <v>117</v>
      </c>
      <c r="D38" s="113" t="s">
        <v>118</v>
      </c>
      <c r="E38" s="113" t="s">
        <v>119</v>
      </c>
    </row>
    <row r="39" spans="1:8" x14ac:dyDescent="0.35">
      <c r="A39" s="119" t="s">
        <v>120</v>
      </c>
      <c r="B39" s="120">
        <v>0.05</v>
      </c>
      <c r="C39" s="134">
        <v>0.15</v>
      </c>
      <c r="D39" s="120">
        <v>0.3</v>
      </c>
      <c r="E39" s="114"/>
    </row>
    <row r="40" spans="1:8" x14ac:dyDescent="0.35">
      <c r="A40" s="121">
        <v>1</v>
      </c>
      <c r="B40" s="122">
        <f>FV(B$39/12,$A40*12,-$B$24,-$B$36)</f>
        <v>5012.7035181069714</v>
      </c>
      <c r="C40" s="135">
        <f t="shared" ref="C40:D43" si="3">FV(C$39/12,$A40*12,-$B$24,-$B$36)</f>
        <v>5413.0535258655254</v>
      </c>
      <c r="D40" s="122">
        <f t="shared" si="3"/>
        <v>6078.3882807174468</v>
      </c>
      <c r="E40" s="123">
        <f>$B$36+$B$24*12*$A40</f>
        <v>4824.5125730350501</v>
      </c>
    </row>
    <row r="41" spans="1:8" x14ac:dyDescent="0.35">
      <c r="A41" s="124">
        <v>3</v>
      </c>
      <c r="B41" s="122">
        <f t="shared" ref="B41:D43" si="4">FV(B$39/12,$A41*12,-$B$24,-$B$36)</f>
        <v>9946.2794135048043</v>
      </c>
      <c r="C41" s="135">
        <f t="shared" si="3"/>
        <v>12156.198059824934</v>
      </c>
      <c r="D41" s="122">
        <f t="shared" si="3"/>
        <v>16655.220262050469</v>
      </c>
      <c r="E41" s="123">
        <f t="shared" ref="E41:E43" si="5">$B$36+$B$24*12*$A41</f>
        <v>9024.5125730350501</v>
      </c>
    </row>
    <row r="42" spans="1:8" x14ac:dyDescent="0.35">
      <c r="A42" s="124">
        <v>5</v>
      </c>
      <c r="B42" s="122">
        <f t="shared" si="4"/>
        <v>15397.591352444062</v>
      </c>
      <c r="C42" s="135">
        <f t="shared" si="3"/>
        <v>21241.580930750933</v>
      </c>
      <c r="D42" s="122">
        <f t="shared" si="3"/>
        <v>35785.810731062527</v>
      </c>
      <c r="E42" s="123">
        <f t="shared" si="5"/>
        <v>13224.51257303505</v>
      </c>
    </row>
    <row r="43" spans="1:8" x14ac:dyDescent="0.35">
      <c r="A43" s="124">
        <v>10</v>
      </c>
      <c r="B43" s="122">
        <f t="shared" si="4"/>
        <v>31661.69698735734</v>
      </c>
      <c r="C43" s="135">
        <f t="shared" si="3"/>
        <v>60260.401974350847</v>
      </c>
      <c r="D43" s="122">
        <f t="shared" si="3"/>
        <v>181248.57144926922</v>
      </c>
      <c r="E43" s="123">
        <f t="shared" si="5"/>
        <v>23724.512573035048</v>
      </c>
    </row>
    <row r="45" spans="1:8" ht="15.5" x14ac:dyDescent="0.35">
      <c r="A45" s="30" t="s">
        <v>121</v>
      </c>
      <c r="B45" s="30"/>
      <c r="C45" s="30"/>
      <c r="D45" s="30"/>
      <c r="E45" s="30"/>
      <c r="F45" s="30"/>
      <c r="G45" s="30"/>
      <c r="H45" s="30"/>
    </row>
    <row r="46" spans="1:8" ht="185" customHeight="1" x14ac:dyDescent="0.35">
      <c r="A46" s="125" t="s">
        <v>122</v>
      </c>
      <c r="B46" s="72"/>
      <c r="C46" s="72"/>
      <c r="D46" s="72"/>
      <c r="E46" s="72"/>
      <c r="F46" s="72"/>
      <c r="G46" s="72"/>
      <c r="H46" s="72"/>
    </row>
    <row r="47" spans="1:8" x14ac:dyDescent="0.35">
      <c r="A47" s="72"/>
      <c r="B47" s="72"/>
      <c r="C47" s="72"/>
      <c r="D47" s="72"/>
      <c r="E47" s="72"/>
      <c r="F47" s="72"/>
      <c r="G47" s="72"/>
      <c r="H47" s="72"/>
    </row>
    <row r="48" spans="1:8" x14ac:dyDescent="0.35">
      <c r="A48" s="72"/>
      <c r="B48" s="72"/>
      <c r="C48" s="72"/>
      <c r="D48" s="72"/>
      <c r="E48" s="72"/>
      <c r="F48" s="72"/>
      <c r="G48" s="72"/>
      <c r="H48" s="72"/>
    </row>
    <row r="49" spans="1:8" x14ac:dyDescent="0.35">
      <c r="A49" s="72"/>
      <c r="B49" s="72"/>
      <c r="C49" s="72"/>
      <c r="D49" s="72"/>
      <c r="E49" s="72"/>
      <c r="F49" s="72"/>
      <c r="G49" s="72"/>
      <c r="H49" s="72"/>
    </row>
    <row r="50" spans="1:8" x14ac:dyDescent="0.35">
      <c r="A50" s="72"/>
      <c r="B50" s="72"/>
      <c r="C50" s="72"/>
      <c r="D50" s="72"/>
      <c r="E50" s="72"/>
      <c r="F50" s="72"/>
      <c r="G50" s="72"/>
      <c r="H50" s="72"/>
    </row>
    <row r="51" spans="1:8" x14ac:dyDescent="0.35">
      <c r="A51" s="72"/>
      <c r="B51" s="72"/>
      <c r="C51" s="72"/>
      <c r="D51" s="72"/>
      <c r="E51" s="72"/>
      <c r="F51" s="72"/>
      <c r="G51" s="72"/>
      <c r="H51" s="72"/>
    </row>
    <row r="52" spans="1:8" x14ac:dyDescent="0.35">
      <c r="A52" s="72"/>
      <c r="B52" s="72"/>
      <c r="C52" s="72"/>
      <c r="D52" s="72"/>
      <c r="E52" s="72"/>
      <c r="F52" s="72"/>
      <c r="G52" s="72"/>
      <c r="H52" s="72"/>
    </row>
    <row r="53" spans="1:8" x14ac:dyDescent="0.35">
      <c r="A53" s="72"/>
      <c r="B53" s="72"/>
      <c r="C53" s="72"/>
      <c r="D53" s="72"/>
      <c r="E53" s="72"/>
      <c r="F53" s="72"/>
      <c r="G53" s="72"/>
      <c r="H53" s="72"/>
    </row>
    <row r="55" spans="1:8" ht="40" customHeight="1" x14ac:dyDescent="0.35">
      <c r="A55" s="30" t="s">
        <v>128</v>
      </c>
      <c r="B55" s="30"/>
      <c r="C55" s="30"/>
      <c r="D55" s="30"/>
      <c r="E55" s="30"/>
      <c r="F55" s="30"/>
      <c r="G55" s="30"/>
      <c r="H55" s="30"/>
    </row>
    <row r="56" spans="1:8" x14ac:dyDescent="0.35">
      <c r="A56" s="113" t="s">
        <v>129</v>
      </c>
      <c r="B56" s="113" t="s">
        <v>130</v>
      </c>
      <c r="C56" s="113" t="s">
        <v>131</v>
      </c>
      <c r="D56" s="113" t="s">
        <v>80</v>
      </c>
      <c r="E56" s="113" t="s">
        <v>132</v>
      </c>
    </row>
    <row r="57" spans="1:8" x14ac:dyDescent="0.35">
      <c r="A57" s="115" t="s">
        <v>133</v>
      </c>
      <c r="B57" s="114" t="s">
        <v>134</v>
      </c>
      <c r="C57" s="143">
        <v>1068</v>
      </c>
      <c r="D57" s="118">
        <f>IF($C$60=0,"",C57/$C$60)</f>
        <v>0.33333333333333331</v>
      </c>
      <c r="E57" s="114" t="s">
        <v>135</v>
      </c>
    </row>
    <row r="58" spans="1:8" x14ac:dyDescent="0.35">
      <c r="A58" s="115" t="s">
        <v>136</v>
      </c>
      <c r="B58" s="114" t="s">
        <v>137</v>
      </c>
      <c r="C58" s="143">
        <v>1068</v>
      </c>
      <c r="D58" s="118">
        <f t="shared" ref="D58:D61" si="6">IF($C$60=0,"",C58/$C$60)</f>
        <v>0.33333333333333331</v>
      </c>
      <c r="E58" s="114" t="s">
        <v>138</v>
      </c>
    </row>
    <row r="59" spans="1:8" x14ac:dyDescent="0.35">
      <c r="A59" s="115" t="s">
        <v>139</v>
      </c>
      <c r="B59" s="114" t="s">
        <v>140</v>
      </c>
      <c r="C59" s="143">
        <v>1068</v>
      </c>
      <c r="D59" s="118">
        <f t="shared" si="6"/>
        <v>0.33333333333333331</v>
      </c>
      <c r="E59" s="114" t="s">
        <v>141</v>
      </c>
    </row>
    <row r="60" spans="1:8" x14ac:dyDescent="0.35">
      <c r="A60" s="130" t="s">
        <v>31</v>
      </c>
      <c r="B60" s="130"/>
      <c r="C60" s="139">
        <f>SUM(C57:C59)</f>
        <v>3204</v>
      </c>
      <c r="D60" s="131">
        <f t="shared" si="6"/>
        <v>1</v>
      </c>
      <c r="E60" s="130"/>
    </row>
    <row r="61" spans="1:8" x14ac:dyDescent="0.35">
      <c r="A61" s="3" t="s">
        <v>142</v>
      </c>
      <c r="B61" s="144">
        <f>IF(C60=0,"",(C57+C59)/C60)</f>
        <v>0.66666666666666663</v>
      </c>
      <c r="C61" t="str">
        <f>IF(C60=0,"",IF(B61&gt;0.66,"⚠ Demasiado en exchanges — sube autocustodia",IF(B61&gt;0.5,"Aceptable, pero ve subiendo autocustodia","✓ Buen reparto")))</f>
        <v>⚠ Demasiado en exchanges — sube autocustodia</v>
      </c>
    </row>
    <row r="62" spans="1:8" ht="42" customHeight="1" x14ac:dyDescent="0.35">
      <c r="A62" s="111" t="s">
        <v>143</v>
      </c>
      <c r="B62" s="72"/>
      <c r="C62" s="72"/>
      <c r="D62" s="72"/>
      <c r="E62" s="72"/>
      <c r="F62" s="72"/>
      <c r="G62" s="72"/>
      <c r="H62" s="72"/>
    </row>
    <row r="63" spans="1:8" x14ac:dyDescent="0.35">
      <c r="A63" s="72"/>
      <c r="B63" s="72"/>
      <c r="C63" s="72"/>
      <c r="D63" s="72"/>
      <c r="E63" s="72"/>
      <c r="F63" s="72"/>
      <c r="G63" s="72"/>
      <c r="H63" s="72"/>
    </row>
    <row r="65" spans="1:8" ht="15.5" x14ac:dyDescent="0.35">
      <c r="A65" s="30" t="s">
        <v>144</v>
      </c>
      <c r="B65" s="30"/>
      <c r="C65" s="30"/>
      <c r="D65" s="30"/>
      <c r="E65" s="30"/>
      <c r="F65" s="30"/>
      <c r="G65" s="30"/>
      <c r="H65" s="30"/>
    </row>
    <row r="66" spans="1:8" x14ac:dyDescent="0.35">
      <c r="A66" s="113" t="s">
        <v>79</v>
      </c>
      <c r="B66" s="113" t="s">
        <v>2</v>
      </c>
      <c r="C66" s="113" t="s">
        <v>145</v>
      </c>
      <c r="D66" s="113" t="s">
        <v>146</v>
      </c>
      <c r="E66" s="113" t="s">
        <v>147</v>
      </c>
      <c r="F66" s="113" t="s">
        <v>148</v>
      </c>
      <c r="G66" s="113" t="s">
        <v>61</v>
      </c>
    </row>
    <row r="67" spans="1:8" x14ac:dyDescent="0.35">
      <c r="A67" s="115" t="s">
        <v>149</v>
      </c>
      <c r="B67" s="153">
        <v>698</v>
      </c>
      <c r="C67" s="145">
        <v>0.1946</v>
      </c>
      <c r="D67" s="146">
        <f>_xlfn.XLOOKUP("ATOM",Precios[TOKEN],Precios[PRECIO (USD)])</f>
        <v>1.5441</v>
      </c>
      <c r="E67" s="147">
        <f>B67*C67*D67</f>
        <v>209.73633828000001</v>
      </c>
      <c r="F67" s="129">
        <f>E67*RESUMEN!$B$3/12</f>
        <v>14.856323961500001</v>
      </c>
      <c r="G67" s="150" t="s">
        <v>150</v>
      </c>
    </row>
    <row r="68" spans="1:8" x14ac:dyDescent="0.35">
      <c r="A68" s="115" t="s">
        <v>151</v>
      </c>
      <c r="B68" s="153">
        <v>420</v>
      </c>
      <c r="C68" s="145">
        <v>5.4699999999999999E-2</v>
      </c>
      <c r="D68" s="146">
        <f>_xlfn.XLOOKUP("TIA",Precios[TOKEN],Precios[PRECIO (USD)])</f>
        <v>0.37559999999999999</v>
      </c>
      <c r="E68" s="147">
        <f>B68*C68*D68</f>
        <v>8.6290344000000001</v>
      </c>
      <c r="F68" s="129">
        <f>E68*RESUMEN!$B$3/12</f>
        <v>0.61122326999999999</v>
      </c>
      <c r="G68" s="150" t="s">
        <v>152</v>
      </c>
    </row>
    <row r="69" spans="1:8" x14ac:dyDescent="0.35">
      <c r="A69" s="115" t="s">
        <v>153</v>
      </c>
      <c r="B69" s="153">
        <v>0</v>
      </c>
      <c r="C69" s="145">
        <v>3.5000000000000003E-2</v>
      </c>
      <c r="D69" s="146">
        <f>_xlfn.XLOOKUP("ETH",Precios[TOKEN],Precios[PRECIO (USD)])</f>
        <v>2488.52</v>
      </c>
      <c r="E69" s="147">
        <f>B69*C69*D69</f>
        <v>0</v>
      </c>
      <c r="F69" s="129">
        <f>E69*RESUMEN!$B$3/12</f>
        <v>0</v>
      </c>
      <c r="G69" s="150" t="s">
        <v>154</v>
      </c>
    </row>
    <row r="70" spans="1:8" x14ac:dyDescent="0.35">
      <c r="A70" s="115" t="s">
        <v>155</v>
      </c>
      <c r="B70" s="153">
        <v>0</v>
      </c>
      <c r="C70" s="145">
        <v>0.05</v>
      </c>
      <c r="D70" s="148">
        <v>1</v>
      </c>
      <c r="E70" s="147">
        <f>B70*C70*D70</f>
        <v>0</v>
      </c>
      <c r="F70" s="129">
        <f>E70*RESUMEN!$B$3/12</f>
        <v>0</v>
      </c>
      <c r="G70" s="150" t="s">
        <v>156</v>
      </c>
    </row>
    <row r="71" spans="1:8" x14ac:dyDescent="0.35">
      <c r="A71" s="130" t="s">
        <v>31</v>
      </c>
      <c r="B71" s="130"/>
      <c r="C71" s="130"/>
      <c r="D71" s="130"/>
      <c r="E71" s="130"/>
      <c r="F71" s="132">
        <f>SUM(F67:F70)</f>
        <v>15.467547231500001</v>
      </c>
      <c r="G71" s="130"/>
    </row>
    <row r="72" spans="1:8" ht="42" customHeight="1" x14ac:dyDescent="0.35">
      <c r="A72" s="111" t="s">
        <v>157</v>
      </c>
      <c r="B72" s="72"/>
      <c r="C72" s="72"/>
      <c r="D72" s="72"/>
      <c r="E72" s="72"/>
      <c r="F72" s="72"/>
      <c r="G72" s="72"/>
      <c r="H72" s="72"/>
    </row>
    <row r="73" spans="1:8" x14ac:dyDescent="0.35">
      <c r="A73" s="72"/>
      <c r="B73" s="72"/>
      <c r="C73" s="72"/>
      <c r="D73" s="72"/>
      <c r="E73" s="72"/>
      <c r="F73" s="72"/>
      <c r="G73" s="72"/>
      <c r="H73" s="72"/>
    </row>
    <row r="75" spans="1:8" ht="15.5" x14ac:dyDescent="0.35">
      <c r="A75" s="30" t="s">
        <v>158</v>
      </c>
      <c r="B75" s="30"/>
      <c r="C75" s="30"/>
      <c r="D75" s="30"/>
      <c r="E75" s="30"/>
      <c r="F75" s="30"/>
      <c r="G75" s="30"/>
      <c r="H75" s="30"/>
    </row>
    <row r="76" spans="1:8" x14ac:dyDescent="0.35">
      <c r="A76" s="113" t="s">
        <v>159</v>
      </c>
      <c r="B76" s="113" t="s">
        <v>160</v>
      </c>
      <c r="C76" s="113" t="s">
        <v>161</v>
      </c>
      <c r="D76" s="113" t="s">
        <v>162</v>
      </c>
      <c r="E76" s="113" t="s">
        <v>163</v>
      </c>
    </row>
    <row r="77" spans="1:8" x14ac:dyDescent="0.35">
      <c r="A77" s="115" t="s">
        <v>164</v>
      </c>
      <c r="B77" s="114" t="s">
        <v>165</v>
      </c>
      <c r="C77" s="114" t="s">
        <v>166</v>
      </c>
      <c r="D77" s="149" t="s">
        <v>167</v>
      </c>
      <c r="E77" s="149" t="s">
        <v>168</v>
      </c>
    </row>
    <row r="78" spans="1:8" x14ac:dyDescent="0.35">
      <c r="A78" s="115" t="s">
        <v>169</v>
      </c>
      <c r="B78" s="114" t="s">
        <v>170</v>
      </c>
      <c r="C78" s="114" t="s">
        <v>171</v>
      </c>
      <c r="D78" s="149" t="s">
        <v>172</v>
      </c>
      <c r="E78" s="149" t="s">
        <v>173</v>
      </c>
    </row>
    <row r="79" spans="1:8" x14ac:dyDescent="0.35">
      <c r="A79" s="115" t="s">
        <v>174</v>
      </c>
      <c r="B79" s="114" t="s">
        <v>175</v>
      </c>
      <c r="C79" s="114" t="s">
        <v>176</v>
      </c>
      <c r="D79" s="149" t="s">
        <v>177</v>
      </c>
      <c r="E79" s="149" t="s">
        <v>178</v>
      </c>
    </row>
    <row r="81" spans="1:8" x14ac:dyDescent="0.35">
      <c r="A81" s="3" t="s">
        <v>179</v>
      </c>
      <c r="B81" s="151">
        <v>0.15</v>
      </c>
      <c r="C81" s="38" t="s">
        <v>180</v>
      </c>
    </row>
    <row r="82" spans="1:8" x14ac:dyDescent="0.35">
      <c r="A82" s="3" t="s">
        <v>181</v>
      </c>
      <c r="B82" s="152">
        <f>(RESUMEN!F10+RESUMEN!F11)/RESUMEN!B24</f>
        <v>0.3344490893337777</v>
      </c>
      <c r="C82" s="38" t="str">
        <f>IF(B82&gt;B83,"⚠ Pasas del tope — no añadas ATOM/TIA/INJ","✓ Dentro del tope Cosmos")</f>
        <v>✓ Dentro del tope Cosmos</v>
      </c>
    </row>
    <row r="83" spans="1:8" x14ac:dyDescent="0.35">
      <c r="A83" s="3" t="s">
        <v>182</v>
      </c>
      <c r="B83" s="151">
        <v>0.35</v>
      </c>
    </row>
    <row r="85" spans="1:8" ht="40" customHeight="1" x14ac:dyDescent="0.35">
      <c r="A85" s="126" t="s">
        <v>183</v>
      </c>
      <c r="B85" s="72"/>
      <c r="C85" s="72"/>
      <c r="D85" s="72"/>
      <c r="E85" s="72"/>
      <c r="F85" s="72"/>
      <c r="G85" s="72"/>
      <c r="H85" s="72"/>
    </row>
    <row r="86" spans="1:8" x14ac:dyDescent="0.35">
      <c r="A86" s="72"/>
      <c r="B86" s="72"/>
      <c r="C86" s="72"/>
      <c r="D86" s="72"/>
      <c r="E86" s="72"/>
      <c r="F86" s="72"/>
      <c r="G86" s="72"/>
      <c r="H86" s="72"/>
    </row>
  </sheetData>
  <mergeCells count="16">
    <mergeCell ref="A85:H86"/>
    <mergeCell ref="A45:H45"/>
    <mergeCell ref="A55:H55"/>
    <mergeCell ref="A62:H63"/>
    <mergeCell ref="A65:H65"/>
    <mergeCell ref="A72:H73"/>
    <mergeCell ref="A75:H75"/>
    <mergeCell ref="A19:H21"/>
    <mergeCell ref="A32:H33"/>
    <mergeCell ref="A46:H53"/>
    <mergeCell ref="A1:H1"/>
    <mergeCell ref="A2:H2"/>
    <mergeCell ref="A4:H4"/>
    <mergeCell ref="A13:H13"/>
    <mergeCell ref="A23:H23"/>
    <mergeCell ref="A35:H3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A88E-74FD-4F0E-8B7D-20229C406A78}">
  <dimension ref="A1:H41"/>
  <sheetViews>
    <sheetView workbookViewId="0">
      <pane ySplit="1" topLeftCell="A2" activePane="bottomLeft" state="frozen"/>
      <selection pane="bottomLeft" activeCell="J16" sqref="J16"/>
    </sheetView>
  </sheetViews>
  <sheetFormatPr baseColWidth="10" defaultRowHeight="14.5" x14ac:dyDescent="0.35"/>
  <cols>
    <col min="1" max="1" width="10.453125" bestFit="1" customWidth="1"/>
    <col min="2" max="2" width="8.81640625" bestFit="1" customWidth="1"/>
    <col min="3" max="3" width="8.08984375" bestFit="1" customWidth="1"/>
    <col min="4" max="4" width="14.453125" bestFit="1" customWidth="1"/>
    <col min="5" max="5" width="11.90625" bestFit="1" customWidth="1"/>
    <col min="6" max="6" width="13.6328125" bestFit="1" customWidth="1"/>
    <col min="7" max="7" width="11.1796875" bestFit="1" customWidth="1"/>
    <col min="8" max="8" width="49.36328125" bestFit="1" customWidth="1"/>
  </cols>
  <sheetData>
    <row r="1" spans="1:8" x14ac:dyDescent="0.35">
      <c r="A1" t="s">
        <v>0</v>
      </c>
      <c r="B1" t="s">
        <v>13</v>
      </c>
      <c r="C1" t="s">
        <v>34</v>
      </c>
      <c r="D1" t="s">
        <v>35</v>
      </c>
      <c r="E1" t="s">
        <v>2</v>
      </c>
      <c r="F1" t="s">
        <v>36</v>
      </c>
      <c r="G1" t="s">
        <v>37</v>
      </c>
      <c r="H1" t="s">
        <v>51</v>
      </c>
    </row>
    <row r="2" spans="1:8" x14ac:dyDescent="0.35">
      <c r="A2" s="33">
        <v>45325</v>
      </c>
      <c r="B2" t="s">
        <v>27</v>
      </c>
      <c r="C2" s="37" t="s">
        <v>38</v>
      </c>
      <c r="D2" s="34">
        <v>43.18</v>
      </c>
      <c r="E2" s="35">
        <v>5.3200000000000003E-4</v>
      </c>
      <c r="F2" s="36">
        <v>0.02</v>
      </c>
      <c r="G2" s="36">
        <f>F2*RESUMEN!$B$3</f>
        <v>1.7000000000000001E-2</v>
      </c>
      <c r="H2" s="36"/>
    </row>
    <row r="3" spans="1:8" x14ac:dyDescent="0.35">
      <c r="A3" s="33">
        <v>45350</v>
      </c>
      <c r="B3" t="s">
        <v>27</v>
      </c>
      <c r="C3" s="37" t="s">
        <v>38</v>
      </c>
      <c r="D3" s="34">
        <v>0</v>
      </c>
      <c r="E3" s="35">
        <v>2.3000000000000001E-4</v>
      </c>
      <c r="F3" s="36">
        <v>0</v>
      </c>
      <c r="G3" s="36">
        <f>F3*RESUMEN!$B$3</f>
        <v>0</v>
      </c>
      <c r="H3" s="36"/>
    </row>
    <row r="4" spans="1:8" x14ac:dyDescent="0.35">
      <c r="A4" s="33">
        <v>45551</v>
      </c>
      <c r="B4" t="s">
        <v>39</v>
      </c>
      <c r="C4" s="37" t="s">
        <v>38</v>
      </c>
      <c r="D4" s="34">
        <v>0</v>
      </c>
      <c r="E4" s="35">
        <v>349</v>
      </c>
      <c r="F4" s="36">
        <v>0</v>
      </c>
      <c r="G4" s="36">
        <f>F4*RESUMEN!$B$3</f>
        <v>0</v>
      </c>
      <c r="H4" s="36"/>
    </row>
    <row r="5" spans="1:8" x14ac:dyDescent="0.35">
      <c r="A5" s="33">
        <v>45551</v>
      </c>
      <c r="B5" t="s">
        <v>39</v>
      </c>
      <c r="C5" s="37" t="s">
        <v>38</v>
      </c>
      <c r="D5" s="34">
        <v>0</v>
      </c>
      <c r="E5" s="35">
        <v>676</v>
      </c>
      <c r="F5" s="36">
        <v>0</v>
      </c>
      <c r="G5" s="36">
        <f>F5*RESUMEN!$B$3</f>
        <v>0</v>
      </c>
      <c r="H5" s="36"/>
    </row>
    <row r="6" spans="1:8" x14ac:dyDescent="0.35">
      <c r="A6" s="33">
        <v>45586</v>
      </c>
      <c r="B6" t="s">
        <v>39</v>
      </c>
      <c r="C6" s="37" t="s">
        <v>38</v>
      </c>
      <c r="D6" s="34">
        <v>0</v>
      </c>
      <c r="E6" s="35">
        <v>246</v>
      </c>
      <c r="F6" s="36">
        <v>0</v>
      </c>
      <c r="G6" s="36">
        <f>F6*RESUMEN!$B$3</f>
        <v>0</v>
      </c>
      <c r="H6" s="36"/>
    </row>
    <row r="7" spans="1:8" x14ac:dyDescent="0.35">
      <c r="A7" s="33">
        <v>45901</v>
      </c>
      <c r="B7" t="s">
        <v>40</v>
      </c>
      <c r="C7" s="37" t="s">
        <v>38</v>
      </c>
      <c r="D7" s="34">
        <v>0</v>
      </c>
      <c r="E7" s="35">
        <v>969.79</v>
      </c>
      <c r="F7" s="36">
        <v>0</v>
      </c>
      <c r="G7" s="36">
        <f>F7*RESUMEN!$B$3</f>
        <v>0</v>
      </c>
      <c r="H7" s="36"/>
    </row>
    <row r="8" spans="1:8" x14ac:dyDescent="0.35">
      <c r="A8" s="33">
        <v>45901</v>
      </c>
      <c r="B8" t="s">
        <v>9</v>
      </c>
      <c r="C8" s="37" t="s">
        <v>38</v>
      </c>
      <c r="D8" s="34">
        <v>1539.8</v>
      </c>
      <c r="E8" s="35">
        <v>0.27400000000000002</v>
      </c>
      <c r="F8" s="36">
        <v>421.91</v>
      </c>
      <c r="G8" s="36">
        <f>F8*RESUMEN!$B$3</f>
        <v>358.62350000000004</v>
      </c>
      <c r="H8" s="36"/>
    </row>
    <row r="9" spans="1:8" x14ac:dyDescent="0.35">
      <c r="A9" s="104">
        <v>45902</v>
      </c>
      <c r="B9" s="105" t="s">
        <v>9</v>
      </c>
      <c r="C9" s="106" t="s">
        <v>38</v>
      </c>
      <c r="D9" s="109">
        <v>4629.12</v>
      </c>
      <c r="E9" s="107">
        <v>1.9199999999999998E-2</v>
      </c>
      <c r="F9" s="108">
        <f>D9*E9</f>
        <v>88.879103999999984</v>
      </c>
      <c r="G9" s="108">
        <f>F9*RESUMEN!$B$3</f>
        <v>75.547238399999983</v>
      </c>
      <c r="H9" s="108"/>
    </row>
    <row r="10" spans="1:8" x14ac:dyDescent="0.35">
      <c r="A10" s="104">
        <v>45931</v>
      </c>
      <c r="B10" s="105" t="s">
        <v>9</v>
      </c>
      <c r="C10" s="106" t="s">
        <v>38</v>
      </c>
      <c r="D10" s="109">
        <v>4629.12</v>
      </c>
      <c r="E10" s="107">
        <v>1.7999999999999999E-2</v>
      </c>
      <c r="F10" s="108">
        <f>D10*E10</f>
        <v>83.324159999999992</v>
      </c>
      <c r="G10" s="108">
        <f>F10*RESUMEN!$B$3</f>
        <v>70.825535999999985</v>
      </c>
      <c r="H10" s="108"/>
    </row>
    <row r="11" spans="1:8" x14ac:dyDescent="0.35">
      <c r="A11" s="33">
        <v>45945</v>
      </c>
      <c r="B11" t="s">
        <v>41</v>
      </c>
      <c r="C11" s="37" t="s">
        <v>42</v>
      </c>
      <c r="D11" s="34">
        <v>0</v>
      </c>
      <c r="E11" s="35">
        <v>10.27</v>
      </c>
      <c r="F11" s="36">
        <v>0</v>
      </c>
      <c r="G11" s="36">
        <f>F11*RESUMEN!$B$3</f>
        <v>0</v>
      </c>
      <c r="H11" s="36"/>
    </row>
    <row r="12" spans="1:8" x14ac:dyDescent="0.35">
      <c r="A12" s="33">
        <v>45961</v>
      </c>
      <c r="B12" t="s">
        <v>18</v>
      </c>
      <c r="C12" s="37" t="s">
        <v>38</v>
      </c>
      <c r="D12" s="34">
        <v>2.9952000000000001</v>
      </c>
      <c r="E12" s="35">
        <v>18.190000000000001</v>
      </c>
      <c r="F12" s="36">
        <v>54.48</v>
      </c>
      <c r="G12" s="36">
        <f>F12*RESUMEN!$B$3</f>
        <v>46.307999999999993</v>
      </c>
      <c r="H12" s="36"/>
    </row>
    <row r="13" spans="1:8" x14ac:dyDescent="0.35">
      <c r="A13" s="33">
        <v>45961</v>
      </c>
      <c r="B13" t="s">
        <v>19</v>
      </c>
      <c r="C13" s="37" t="s">
        <v>38</v>
      </c>
      <c r="D13" s="34">
        <v>0.9103</v>
      </c>
      <c r="E13" s="35">
        <v>56.25</v>
      </c>
      <c r="F13" s="36">
        <v>51.2</v>
      </c>
      <c r="G13" s="36">
        <f>F13*RESUMEN!$B$3</f>
        <v>43.52</v>
      </c>
      <c r="H13" s="36"/>
    </row>
    <row r="14" spans="1:8" x14ac:dyDescent="0.35">
      <c r="A14" s="33">
        <v>45965</v>
      </c>
      <c r="B14" t="s">
        <v>19</v>
      </c>
      <c r="C14" s="37" t="s">
        <v>38</v>
      </c>
      <c r="D14" s="34">
        <v>0.56999999999999995</v>
      </c>
      <c r="E14" s="35">
        <v>31</v>
      </c>
      <c r="F14" s="36">
        <v>17.670000000000002</v>
      </c>
      <c r="G14" s="36">
        <f>F14*RESUMEN!$B$3</f>
        <v>15.019500000000001</v>
      </c>
      <c r="H14" s="36"/>
    </row>
    <row r="15" spans="1:8" x14ac:dyDescent="0.35">
      <c r="A15" s="33">
        <v>45997</v>
      </c>
      <c r="B15" t="s">
        <v>19</v>
      </c>
      <c r="C15" s="37" t="s">
        <v>38</v>
      </c>
      <c r="D15" s="34">
        <v>0.57650000000000001</v>
      </c>
      <c r="E15" s="35">
        <v>60.46</v>
      </c>
      <c r="F15" s="36">
        <v>34.86</v>
      </c>
      <c r="G15" s="36">
        <f>F15*RESUMEN!$B$3</f>
        <v>29.631</v>
      </c>
      <c r="H15" s="36"/>
    </row>
    <row r="16" spans="1:8" x14ac:dyDescent="0.35">
      <c r="A16" s="33">
        <v>45997</v>
      </c>
      <c r="B16" t="s">
        <v>18</v>
      </c>
      <c r="C16" s="37" t="s">
        <v>38</v>
      </c>
      <c r="D16" s="34">
        <v>2.2431999999999999</v>
      </c>
      <c r="E16" s="35">
        <v>9.25</v>
      </c>
      <c r="F16" s="36">
        <v>20.75</v>
      </c>
      <c r="G16" s="36">
        <f>F16*RESUMEN!$B$3</f>
        <v>17.637499999999999</v>
      </c>
      <c r="H16" s="36"/>
    </row>
    <row r="17" spans="1:8" x14ac:dyDescent="0.35">
      <c r="A17" s="33">
        <v>45997</v>
      </c>
      <c r="B17" t="s">
        <v>18</v>
      </c>
      <c r="C17" s="37" t="s">
        <v>38</v>
      </c>
      <c r="D17" s="34">
        <v>2.2431999999999999</v>
      </c>
      <c r="E17" s="35">
        <v>15.53</v>
      </c>
      <c r="F17" s="36">
        <v>34.840000000000003</v>
      </c>
      <c r="G17" s="36">
        <f>F17*RESUMEN!$B$3</f>
        <v>29.614000000000001</v>
      </c>
      <c r="H17" s="36"/>
    </row>
    <row r="18" spans="1:8" x14ac:dyDescent="0.35">
      <c r="A18" s="33">
        <v>46049</v>
      </c>
      <c r="B18" t="s">
        <v>19</v>
      </c>
      <c r="C18" s="37" t="s">
        <v>38</v>
      </c>
      <c r="D18" s="34">
        <v>0.438</v>
      </c>
      <c r="E18" s="35">
        <v>136</v>
      </c>
      <c r="F18" s="36">
        <v>59.58</v>
      </c>
      <c r="G18" s="36">
        <f>F18*RESUMEN!$B$3</f>
        <v>50.643000000000001</v>
      </c>
      <c r="H18" s="36"/>
    </row>
    <row r="19" spans="1:8" x14ac:dyDescent="0.35">
      <c r="A19" s="33">
        <v>46049</v>
      </c>
      <c r="B19" t="s">
        <v>18</v>
      </c>
      <c r="C19" s="37" t="s">
        <v>38</v>
      </c>
      <c r="D19" s="34">
        <v>2.2048999999999999</v>
      </c>
      <c r="E19" s="35">
        <v>27</v>
      </c>
      <c r="F19" s="36">
        <v>59.53</v>
      </c>
      <c r="G19" s="36">
        <f>F19*RESUMEN!$B$3</f>
        <v>50.600499999999997</v>
      </c>
      <c r="H19" s="36"/>
    </row>
    <row r="20" spans="1:8" x14ac:dyDescent="0.35">
      <c r="A20" s="33">
        <v>46080</v>
      </c>
      <c r="B20" t="s">
        <v>27</v>
      </c>
      <c r="C20" s="37" t="s">
        <v>38</v>
      </c>
      <c r="D20" s="34">
        <v>65992.28</v>
      </c>
      <c r="E20" s="35">
        <v>1.714E-3</v>
      </c>
      <c r="F20" s="36">
        <v>113.11</v>
      </c>
      <c r="G20" s="36">
        <f>F20*RESUMEN!$B$3</f>
        <v>96.143500000000003</v>
      </c>
      <c r="H20" s="36"/>
    </row>
    <row r="21" spans="1:8" x14ac:dyDescent="0.35">
      <c r="A21" s="33">
        <v>46082</v>
      </c>
      <c r="B21" t="s">
        <v>27</v>
      </c>
      <c r="C21" s="37" t="s">
        <v>38</v>
      </c>
      <c r="D21" s="34">
        <v>66557.789999999994</v>
      </c>
      <c r="E21" s="35">
        <v>3.0999999999999999E-3</v>
      </c>
      <c r="F21" s="36">
        <v>206.33</v>
      </c>
      <c r="G21" s="36">
        <f>F21*RESUMEN!$B$3</f>
        <v>175.38050000000001</v>
      </c>
      <c r="H21" s="36"/>
    </row>
    <row r="22" spans="1:8" x14ac:dyDescent="0.35">
      <c r="A22" s="33">
        <v>46114</v>
      </c>
      <c r="B22" t="s">
        <v>18</v>
      </c>
      <c r="C22" s="37" t="s">
        <v>38</v>
      </c>
      <c r="D22" s="34">
        <v>1.6437999999999999</v>
      </c>
      <c r="E22" s="35">
        <v>30</v>
      </c>
      <c r="F22" s="36">
        <v>49.31</v>
      </c>
      <c r="G22" s="36">
        <f>F22*RESUMEN!$B$3</f>
        <v>41.913499999999999</v>
      </c>
      <c r="H22" s="36"/>
    </row>
    <row r="23" spans="1:8" x14ac:dyDescent="0.35">
      <c r="A23" s="33">
        <v>46133</v>
      </c>
      <c r="B23" t="s">
        <v>18</v>
      </c>
      <c r="C23" s="37" t="s">
        <v>38</v>
      </c>
      <c r="D23" s="34">
        <v>1.8064</v>
      </c>
      <c r="E23" s="35">
        <v>93</v>
      </c>
      <c r="F23" s="36">
        <v>167.99</v>
      </c>
      <c r="G23" s="36">
        <f>F23*RESUMEN!$B$3</f>
        <v>142.79150000000001</v>
      </c>
      <c r="H23" s="36"/>
    </row>
    <row r="24" spans="1:8" x14ac:dyDescent="0.35">
      <c r="A24" s="33">
        <v>46175</v>
      </c>
      <c r="B24" t="s">
        <v>18</v>
      </c>
      <c r="C24" s="37" t="s">
        <v>38</v>
      </c>
      <c r="D24" s="34">
        <v>1.8859999999999999</v>
      </c>
      <c r="E24" s="35">
        <v>51</v>
      </c>
      <c r="F24" s="36">
        <v>96.19</v>
      </c>
      <c r="G24" s="36">
        <f>F24*RESUMEN!$B$3</f>
        <v>81.761499999999998</v>
      </c>
      <c r="H24" s="36"/>
    </row>
    <row r="25" spans="1:8" x14ac:dyDescent="0.35">
      <c r="A25" s="33">
        <v>46175</v>
      </c>
      <c r="B25" t="s">
        <v>19</v>
      </c>
      <c r="C25" s="37" t="s">
        <v>38</v>
      </c>
      <c r="D25" s="34">
        <v>0.39269999999999999</v>
      </c>
      <c r="E25" s="35">
        <v>57</v>
      </c>
      <c r="F25" s="36">
        <v>22.39</v>
      </c>
      <c r="G25" s="36">
        <f>F25*RESUMEN!$B$3</f>
        <v>19.031500000000001</v>
      </c>
      <c r="H25" s="36"/>
    </row>
    <row r="26" spans="1:8" x14ac:dyDescent="0.35">
      <c r="A26" s="33">
        <v>46175</v>
      </c>
      <c r="B26" t="s">
        <v>27</v>
      </c>
      <c r="C26" s="37" t="s">
        <v>38</v>
      </c>
      <c r="D26" s="34">
        <v>69395.87</v>
      </c>
      <c r="E26" s="35">
        <v>6.9999999999999999E-4</v>
      </c>
      <c r="F26" s="36">
        <v>48.58</v>
      </c>
      <c r="G26" s="36">
        <f>F26*RESUMEN!$B$3</f>
        <v>41.292999999999999</v>
      </c>
      <c r="H26" s="36"/>
    </row>
    <row r="27" spans="1:8" x14ac:dyDescent="0.35">
      <c r="A27" s="33">
        <v>46175</v>
      </c>
      <c r="B27" t="s">
        <v>9</v>
      </c>
      <c r="C27" s="37" t="s">
        <v>38</v>
      </c>
      <c r="D27" s="34">
        <v>1977.56</v>
      </c>
      <c r="E27" s="35">
        <v>2.5000000000000001E-2</v>
      </c>
      <c r="F27" s="36">
        <v>49.44</v>
      </c>
      <c r="G27" s="36">
        <f>F27*RESUMEN!$B$3</f>
        <v>42.023999999999994</v>
      </c>
      <c r="H27" s="36"/>
    </row>
    <row r="28" spans="1:8" x14ac:dyDescent="0.35">
      <c r="A28" s="33">
        <v>46177</v>
      </c>
      <c r="B28" t="s">
        <v>9</v>
      </c>
      <c r="C28" s="37" t="s">
        <v>38</v>
      </c>
      <c r="D28" s="34">
        <v>1751.03</v>
      </c>
      <c r="E28" s="35">
        <v>0.06</v>
      </c>
      <c r="F28" s="36">
        <v>105.06</v>
      </c>
      <c r="G28" s="36">
        <f>F28*RESUMEN!$B$3</f>
        <v>89.301000000000002</v>
      </c>
      <c r="H28" s="36"/>
    </row>
    <row r="29" spans="1:8" x14ac:dyDescent="0.35">
      <c r="A29" s="33">
        <v>46177</v>
      </c>
      <c r="B29" t="s">
        <v>27</v>
      </c>
      <c r="C29" s="37" t="s">
        <v>38</v>
      </c>
      <c r="D29" s="34">
        <v>62719.33</v>
      </c>
      <c r="E29" s="35">
        <v>1.1999999999999999E-3</v>
      </c>
      <c r="F29" s="36">
        <v>75.260000000000005</v>
      </c>
      <c r="G29" s="36">
        <f>F29*RESUMEN!$B$3</f>
        <v>63.971000000000004</v>
      </c>
      <c r="H29" s="36"/>
    </row>
    <row r="30" spans="1:8" x14ac:dyDescent="0.35">
      <c r="A30" s="33">
        <v>46205</v>
      </c>
      <c r="B30" t="s">
        <v>9</v>
      </c>
      <c r="C30" s="37" t="s">
        <v>38</v>
      </c>
      <c r="D30" s="34">
        <v>1654.52</v>
      </c>
      <c r="E30" s="35">
        <v>1.6E-2</v>
      </c>
      <c r="F30" s="36">
        <v>26.47</v>
      </c>
      <c r="G30" s="36">
        <f>F30*RESUMEN!$B$3</f>
        <v>22.499499999999998</v>
      </c>
      <c r="H30" s="36"/>
    </row>
    <row r="31" spans="1:8" x14ac:dyDescent="0.35">
      <c r="A31" s="33">
        <v>46205</v>
      </c>
      <c r="B31" t="s">
        <v>27</v>
      </c>
      <c r="C31" s="37" t="s">
        <v>38</v>
      </c>
      <c r="D31" s="34">
        <v>61242.18</v>
      </c>
      <c r="E31" s="35">
        <v>4.0000000000000002E-4</v>
      </c>
      <c r="F31" s="36">
        <v>24.5</v>
      </c>
      <c r="G31" s="36">
        <f>F31*RESUMEN!$B$3</f>
        <v>20.824999999999999</v>
      </c>
      <c r="H31" s="36"/>
    </row>
    <row r="32" spans="1:8" x14ac:dyDescent="0.35">
      <c r="A32" s="33">
        <v>46205</v>
      </c>
      <c r="B32" t="s">
        <v>18</v>
      </c>
      <c r="C32" s="37" t="s">
        <v>38</v>
      </c>
      <c r="D32" s="34">
        <v>1.5589999999999999</v>
      </c>
      <c r="E32" s="35">
        <v>17.71</v>
      </c>
      <c r="F32" s="36">
        <v>27.61</v>
      </c>
      <c r="G32" s="36">
        <f>F32*RESUMEN!$B$3</f>
        <v>23.468499999999999</v>
      </c>
      <c r="H32" s="36"/>
    </row>
    <row r="33" spans="1:8" x14ac:dyDescent="0.35">
      <c r="A33" s="33">
        <v>46205</v>
      </c>
      <c r="B33" t="s">
        <v>19</v>
      </c>
      <c r="C33" s="37" t="s">
        <v>38</v>
      </c>
      <c r="D33" s="34">
        <v>0.3745</v>
      </c>
      <c r="E33" s="35">
        <v>74.14</v>
      </c>
      <c r="F33" s="36">
        <v>27.77</v>
      </c>
      <c r="G33" s="36">
        <f>F33*RESUMEN!$B$3</f>
        <v>23.604499999999998</v>
      </c>
      <c r="H33" s="36"/>
    </row>
    <row r="34" spans="1:8" x14ac:dyDescent="0.35">
      <c r="A34" s="33">
        <v>46220</v>
      </c>
      <c r="B34" t="s">
        <v>18</v>
      </c>
      <c r="C34" s="37" t="s">
        <v>38</v>
      </c>
      <c r="D34" s="34">
        <v>0</v>
      </c>
      <c r="E34" s="35">
        <v>45</v>
      </c>
      <c r="F34" s="36">
        <v>0</v>
      </c>
      <c r="G34" s="36">
        <f>F34*RESUMEN!$B$3</f>
        <v>0</v>
      </c>
      <c r="H34" s="36"/>
    </row>
    <row r="35" spans="1:8" x14ac:dyDescent="0.35">
      <c r="A35" s="33">
        <v>46220</v>
      </c>
      <c r="B35" t="s">
        <v>18</v>
      </c>
      <c r="C35" s="37" t="s">
        <v>38</v>
      </c>
      <c r="D35" s="34">
        <v>1.5047999999999999</v>
      </c>
      <c r="E35" s="35">
        <v>407</v>
      </c>
      <c r="F35" s="36">
        <v>612.45000000000005</v>
      </c>
      <c r="G35" s="36">
        <f>F35*RESUMEN!$B$3</f>
        <v>520.58249999999998</v>
      </c>
      <c r="H35" s="36"/>
    </row>
    <row r="36" spans="1:8" x14ac:dyDescent="0.35">
      <c r="A36" s="33">
        <v>46220</v>
      </c>
      <c r="B36" t="s">
        <v>19</v>
      </c>
      <c r="C36" s="37" t="s">
        <v>43</v>
      </c>
      <c r="D36" s="34">
        <v>0</v>
      </c>
      <c r="E36" s="35">
        <v>9</v>
      </c>
      <c r="F36" s="36">
        <v>0</v>
      </c>
      <c r="G36" s="36">
        <f>F36*RESUMEN!$B$3</f>
        <v>0</v>
      </c>
      <c r="H36" s="36"/>
    </row>
    <row r="37" spans="1:8" x14ac:dyDescent="0.35">
      <c r="A37" s="33">
        <v>46220</v>
      </c>
      <c r="B37" t="s">
        <v>41</v>
      </c>
      <c r="C37" s="37" t="s">
        <v>43</v>
      </c>
      <c r="D37" s="34">
        <v>0</v>
      </c>
      <c r="E37" s="35">
        <v>3</v>
      </c>
      <c r="F37" s="36">
        <v>0</v>
      </c>
      <c r="G37" s="36">
        <f>F37*RESUMEN!$B$3</f>
        <v>0</v>
      </c>
      <c r="H37" s="36"/>
    </row>
    <row r="38" spans="1:8" x14ac:dyDescent="0.35">
      <c r="A38" s="33">
        <v>46223</v>
      </c>
      <c r="B38" t="s">
        <v>27</v>
      </c>
      <c r="C38" s="37" t="s">
        <v>38</v>
      </c>
      <c r="D38" s="34">
        <v>64793.41</v>
      </c>
      <c r="E38" s="35">
        <v>5.1700000000000001E-3</v>
      </c>
      <c r="F38" s="36">
        <v>334.98</v>
      </c>
      <c r="G38" s="36">
        <f>F38*RESUMEN!$B$3</f>
        <v>284.733</v>
      </c>
      <c r="H38" s="36"/>
    </row>
    <row r="39" spans="1:8" x14ac:dyDescent="0.35">
      <c r="A39" s="33">
        <v>46223</v>
      </c>
      <c r="B39" t="s">
        <v>9</v>
      </c>
      <c r="C39" s="37" t="s">
        <v>38</v>
      </c>
      <c r="D39" s="34">
        <v>1887.94</v>
      </c>
      <c r="E39" s="35">
        <v>5.9299999999999999E-2</v>
      </c>
      <c r="F39" s="36">
        <v>111.95</v>
      </c>
      <c r="G39" s="36">
        <f>F39*RESUMEN!$B$3</f>
        <v>95.157499999999999</v>
      </c>
      <c r="H39" s="36"/>
    </row>
    <row r="40" spans="1:8" x14ac:dyDescent="0.35">
      <c r="A40" s="33">
        <v>46234</v>
      </c>
      <c r="B40" t="s">
        <v>9</v>
      </c>
      <c r="C40" s="37" t="s">
        <v>38</v>
      </c>
      <c r="D40" s="34">
        <v>1887.06</v>
      </c>
      <c r="E40" s="35">
        <v>4.2999999999999997E-2</v>
      </c>
      <c r="F40" s="36">
        <v>81.14</v>
      </c>
      <c r="G40" s="36">
        <f>F40*RESUMEN!$B$3</f>
        <v>68.968999999999994</v>
      </c>
      <c r="H40" s="36"/>
    </row>
    <row r="41" spans="1:8" x14ac:dyDescent="0.35">
      <c r="A41" s="33">
        <v>46234</v>
      </c>
      <c r="B41" t="s">
        <v>27</v>
      </c>
      <c r="C41" s="37" t="s">
        <v>38</v>
      </c>
      <c r="D41" s="34">
        <v>63885.09</v>
      </c>
      <c r="E41" s="35">
        <v>1.1999999999999999E-3</v>
      </c>
      <c r="F41" s="36">
        <v>76.66</v>
      </c>
      <c r="G41" s="36">
        <f>F41*RESUMEN!$B$3</f>
        <v>65.161000000000001</v>
      </c>
      <c r="H41" s="3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D775-121A-4558-A058-9AFCA1ABCCE4}">
  <dimension ref="A1:D10"/>
  <sheetViews>
    <sheetView workbookViewId="0">
      <selection activeCell="C19" sqref="C19"/>
    </sheetView>
  </sheetViews>
  <sheetFormatPr baseColWidth="10" defaultRowHeight="14.5" x14ac:dyDescent="0.35"/>
  <cols>
    <col min="1" max="1" width="8.81640625" bestFit="1" customWidth="1"/>
    <col min="2" max="2" width="14.453125" bestFit="1" customWidth="1"/>
    <col min="3" max="3" width="13.7265625" bestFit="1" customWidth="1"/>
    <col min="4" max="4" width="10.453125" bestFit="1" customWidth="1"/>
  </cols>
  <sheetData>
    <row r="1" spans="1:4" x14ac:dyDescent="0.35">
      <c r="A1" t="s">
        <v>13</v>
      </c>
      <c r="B1" t="s">
        <v>35</v>
      </c>
      <c r="C1" t="s">
        <v>52</v>
      </c>
      <c r="D1" t="s">
        <v>0</v>
      </c>
    </row>
    <row r="2" spans="1:4" x14ac:dyDescent="0.35">
      <c r="A2" s="3" t="s">
        <v>27</v>
      </c>
      <c r="B2" s="68">
        <v>80041.72</v>
      </c>
      <c r="C2" t="s">
        <v>53</v>
      </c>
      <c r="D2" s="33">
        <v>46265</v>
      </c>
    </row>
    <row r="3" spans="1:4" x14ac:dyDescent="0.35">
      <c r="A3" s="3" t="s">
        <v>9</v>
      </c>
      <c r="B3" s="68">
        <v>2488.52</v>
      </c>
      <c r="C3" t="s">
        <v>53</v>
      </c>
      <c r="D3" s="33">
        <v>46265</v>
      </c>
    </row>
    <row r="4" spans="1:4" x14ac:dyDescent="0.35">
      <c r="A4" s="3" t="s">
        <v>18</v>
      </c>
      <c r="B4" s="68">
        <v>1.5441</v>
      </c>
      <c r="C4" t="s">
        <v>53</v>
      </c>
      <c r="D4" s="33">
        <v>46265</v>
      </c>
    </row>
    <row r="5" spans="1:4" x14ac:dyDescent="0.35">
      <c r="A5" s="3" t="s">
        <v>19</v>
      </c>
      <c r="B5" s="68">
        <v>0.37559999999999999</v>
      </c>
      <c r="C5" t="s">
        <v>53</v>
      </c>
      <c r="D5" s="33">
        <v>46265</v>
      </c>
    </row>
    <row r="6" spans="1:4" x14ac:dyDescent="0.35">
      <c r="A6" s="3" t="s">
        <v>40</v>
      </c>
      <c r="B6" s="68">
        <v>8.9969999999999994E-2</v>
      </c>
      <c r="C6" t="s">
        <v>53</v>
      </c>
      <c r="D6" s="33">
        <v>46265</v>
      </c>
    </row>
    <row r="7" spans="1:4" x14ac:dyDescent="0.35">
      <c r="A7" s="3" t="s">
        <v>41</v>
      </c>
      <c r="B7" s="68">
        <v>0.13569999999999999</v>
      </c>
      <c r="C7" t="s">
        <v>53</v>
      </c>
      <c r="D7" s="33">
        <v>46265</v>
      </c>
    </row>
    <row r="8" spans="1:4" x14ac:dyDescent="0.35">
      <c r="A8" s="3" t="s">
        <v>39</v>
      </c>
      <c r="B8" s="68">
        <v>7.0560000000000002E-5</v>
      </c>
      <c r="C8" t="s">
        <v>53</v>
      </c>
      <c r="D8" s="33">
        <v>46265</v>
      </c>
    </row>
    <row r="10" spans="1:4" x14ac:dyDescent="0.35">
      <c r="A10" s="38" t="s">
        <v>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F4915-8ADC-4454-87C0-41786AAF0071}">
  <dimension ref="A2:K28"/>
  <sheetViews>
    <sheetView workbookViewId="0">
      <pane ySplit="4" topLeftCell="A5" activePane="bottomLeft" state="frozen"/>
      <selection pane="bottomLeft" activeCell="H20" sqref="H20"/>
    </sheetView>
  </sheetViews>
  <sheetFormatPr baseColWidth="10" defaultRowHeight="14.5" x14ac:dyDescent="0.35"/>
  <cols>
    <col min="1" max="1" width="16.6328125" style="3" customWidth="1"/>
    <col min="2" max="3" width="16.6328125" style="4" customWidth="1"/>
    <col min="4" max="6" width="16.6328125" style="3" customWidth="1"/>
    <col min="7" max="8" width="16.6328125" customWidth="1"/>
    <col min="10" max="11" width="16.6328125" customWidth="1"/>
  </cols>
  <sheetData>
    <row r="2" spans="1:11" ht="19" customHeight="1" thickBot="1" x14ac:dyDescent="0.5">
      <c r="A2" s="53" t="s">
        <v>7</v>
      </c>
      <c r="B2" s="53"/>
      <c r="C2" s="53"/>
      <c r="D2" s="53"/>
      <c r="E2" s="53"/>
      <c r="F2" s="53"/>
      <c r="G2" s="20" t="s">
        <v>33</v>
      </c>
      <c r="H2" s="26"/>
      <c r="J2" s="19" t="s">
        <v>48</v>
      </c>
      <c r="K2" s="20"/>
    </row>
    <row r="3" spans="1:11" ht="15" customHeight="1" x14ac:dyDescent="0.35">
      <c r="A3" s="23" t="s">
        <v>22</v>
      </c>
      <c r="B3" s="23"/>
      <c r="C3" s="23"/>
      <c r="D3" s="23"/>
      <c r="E3" s="23"/>
      <c r="F3" s="23"/>
      <c r="G3" s="48">
        <f>SUM(Tabla1[EUROS])+SUM(Tabla1[COMISION])</f>
        <v>1401.28</v>
      </c>
      <c r="H3" s="43">
        <f>G3/RESUMEN!$B$3</f>
        <v>1648.5647058823529</v>
      </c>
      <c r="J3" s="101">
        <f>RESUMEN!$B$24*RESUMEN!$B$3</f>
        <v>3205.3089094530001</v>
      </c>
      <c r="K3" s="32">
        <f>RESUMEN!$B$24</f>
        <v>3770.9516581800003</v>
      </c>
    </row>
    <row r="4" spans="1:11" ht="15" customHeight="1" thickBot="1" x14ac:dyDescent="0.4">
      <c r="A4" s="54" t="s">
        <v>0</v>
      </c>
      <c r="B4" s="55" t="s">
        <v>1</v>
      </c>
      <c r="C4" s="55" t="s">
        <v>6</v>
      </c>
      <c r="D4" s="54" t="s">
        <v>3</v>
      </c>
      <c r="E4" s="54" t="s">
        <v>2</v>
      </c>
      <c r="F4" s="54" t="s">
        <v>32</v>
      </c>
      <c r="G4" s="49"/>
      <c r="H4" s="45"/>
      <c r="J4" s="21"/>
      <c r="K4" s="22"/>
    </row>
    <row r="5" spans="1:11" x14ac:dyDescent="0.35">
      <c r="A5" s="56">
        <v>45874</v>
      </c>
      <c r="B5" s="57">
        <v>100</v>
      </c>
      <c r="C5" s="57">
        <v>2</v>
      </c>
      <c r="D5" s="58" t="s">
        <v>4</v>
      </c>
      <c r="E5" s="59">
        <v>0.15</v>
      </c>
      <c r="F5" s="60">
        <f>IF(Tabla1[[#This Row],[CANTIDAD]]=0,"",(Tabla1[[#This Row],[EUROS]]+Tabla1[[#This Row],[COMISION]])/Tabla1[[#This Row],[CANTIDAD]])</f>
        <v>680</v>
      </c>
      <c r="G5" s="50" t="s">
        <v>12</v>
      </c>
      <c r="H5" s="46"/>
    </row>
    <row r="6" spans="1:11" x14ac:dyDescent="0.35">
      <c r="A6" s="56">
        <v>45874</v>
      </c>
      <c r="B6" s="57">
        <v>100</v>
      </c>
      <c r="C6" s="57">
        <v>2</v>
      </c>
      <c r="D6" s="58" t="s">
        <v>5</v>
      </c>
      <c r="E6" s="59">
        <v>25.68</v>
      </c>
      <c r="F6" s="60">
        <f>IF(Tabla1[[#This Row],[CANTIDAD]]=0,"",(Tabla1[[#This Row],[EUROS]]+Tabla1[[#This Row],[COMISION]])/Tabla1[[#This Row],[CANTIDAD]])</f>
        <v>3.97196261682243</v>
      </c>
      <c r="G6" s="51" t="s">
        <v>13</v>
      </c>
      <c r="H6" s="47" t="s">
        <v>14</v>
      </c>
    </row>
    <row r="7" spans="1:11" x14ac:dyDescent="0.35">
      <c r="A7" s="56">
        <v>45887</v>
      </c>
      <c r="B7" s="57">
        <v>140</v>
      </c>
      <c r="C7" s="57">
        <v>2</v>
      </c>
      <c r="D7" s="58" t="s">
        <v>8</v>
      </c>
      <c r="E7" s="59">
        <v>160</v>
      </c>
      <c r="F7" s="60">
        <f>IF(Tabla1[[#This Row],[CANTIDAD]]=0,"",(Tabla1[[#This Row],[EUROS]]+Tabla1[[#This Row],[COMISION]])/Tabla1[[#This Row],[CANTIDAD]])</f>
        <v>0.88749999999999996</v>
      </c>
      <c r="G7" s="52" t="s">
        <v>11</v>
      </c>
      <c r="H7" s="1">
        <v>238</v>
      </c>
    </row>
    <row r="8" spans="1:11" x14ac:dyDescent="0.35">
      <c r="A8" s="56">
        <v>45901</v>
      </c>
      <c r="B8" s="57">
        <v>75</v>
      </c>
      <c r="C8" s="57">
        <v>2</v>
      </c>
      <c r="D8" s="58" t="s">
        <v>9</v>
      </c>
      <c r="E8" s="59">
        <v>1.9199999999999998E-2</v>
      </c>
      <c r="F8" s="60">
        <f>IF(Tabla1[[#This Row],[CANTIDAD]]=0,"",(Tabla1[[#This Row],[EUROS]]+Tabla1[[#This Row],[COMISION]])/Tabla1[[#This Row],[CANTIDAD]])</f>
        <v>4010.416666666667</v>
      </c>
      <c r="G8" s="52"/>
      <c r="H8" s="2"/>
    </row>
    <row r="9" spans="1:11" x14ac:dyDescent="0.35">
      <c r="A9" s="56">
        <v>45901</v>
      </c>
      <c r="B9" s="57">
        <v>74</v>
      </c>
      <c r="C9" s="57">
        <v>2</v>
      </c>
      <c r="D9" s="58" t="s">
        <v>8</v>
      </c>
      <c r="E9" s="59">
        <v>83.8</v>
      </c>
      <c r="F9" s="60">
        <f>IF(Tabla1[[#This Row],[CANTIDAD]]=0,"",(Tabla1[[#This Row],[EUROS]]+Tabla1[[#This Row],[COMISION]])/Tabla1[[#This Row],[CANTIDAD]])</f>
        <v>0.9069212410501194</v>
      </c>
      <c r="G9" s="52"/>
      <c r="H9" s="2"/>
    </row>
    <row r="10" spans="1:11" x14ac:dyDescent="0.35">
      <c r="A10" s="56">
        <v>45902</v>
      </c>
      <c r="B10" s="57">
        <v>100</v>
      </c>
      <c r="C10" s="57">
        <v>2</v>
      </c>
      <c r="D10" s="58" t="s">
        <v>10</v>
      </c>
      <c r="E10" s="59">
        <v>337.24</v>
      </c>
      <c r="F10" s="60">
        <f>IF(Tabla1[[#This Row],[CANTIDAD]]=0,"",(Tabla1[[#This Row],[EUROS]]+Tabla1[[#This Row],[COMISION]])/Tabla1[[#This Row],[CANTIDAD]])</f>
        <v>0.30245522476574543</v>
      </c>
      <c r="G10" s="52"/>
      <c r="H10" s="2"/>
    </row>
    <row r="11" spans="1:11" x14ac:dyDescent="0.35">
      <c r="A11" s="56">
        <v>45911</v>
      </c>
      <c r="B11" s="57">
        <v>238</v>
      </c>
      <c r="C11" s="57">
        <v>0</v>
      </c>
      <c r="D11" s="58" t="s">
        <v>11</v>
      </c>
      <c r="E11" s="59">
        <v>12000.13</v>
      </c>
      <c r="F11" s="60">
        <f>IF(Tabla1[[#This Row],[CANTIDAD]]=0,"",(Tabla1[[#This Row],[EUROS]]+Tabla1[[#This Row],[COMISION]])/Tabla1[[#This Row],[CANTIDAD]])</f>
        <v>1.9833118474549861E-2</v>
      </c>
      <c r="G11" s="52"/>
      <c r="H11" s="2"/>
      <c r="I11" s="10"/>
    </row>
    <row r="12" spans="1:11" x14ac:dyDescent="0.35">
      <c r="A12" s="56">
        <v>45931</v>
      </c>
      <c r="B12" s="57">
        <v>120</v>
      </c>
      <c r="C12" s="57">
        <v>0</v>
      </c>
      <c r="D12" s="58" t="s">
        <v>9</v>
      </c>
      <c r="E12" s="59">
        <v>3.2899999999999999E-2</v>
      </c>
      <c r="F12" s="60">
        <f>IF(Tabla1[[#This Row],[CANTIDAD]]=0,"",(Tabla1[[#This Row],[EUROS]]+Tabla1[[#This Row],[COMISION]])/Tabla1[[#This Row],[CANTIDAD]])</f>
        <v>3647.4164133738605</v>
      </c>
      <c r="G12" s="52"/>
      <c r="H12" s="2"/>
    </row>
    <row r="13" spans="1:11" x14ac:dyDescent="0.35">
      <c r="A13" s="56">
        <v>45931</v>
      </c>
      <c r="B13" s="57">
        <v>80</v>
      </c>
      <c r="C13" s="57">
        <v>0.48</v>
      </c>
      <c r="D13" s="58" t="s">
        <v>8</v>
      </c>
      <c r="E13" s="59">
        <v>92</v>
      </c>
      <c r="F13" s="60">
        <f>IF(Tabla1[[#This Row],[CANTIDAD]]=0,"",(Tabla1[[#This Row],[EUROS]]+Tabla1[[#This Row],[COMISION]])/Tabla1[[#This Row],[CANTIDAD]])</f>
        <v>0.87478260869565216</v>
      </c>
    </row>
    <row r="14" spans="1:11" x14ac:dyDescent="0.35">
      <c r="A14" s="56">
        <v>45961</v>
      </c>
      <c r="B14" s="57">
        <v>50</v>
      </c>
      <c r="C14" s="57">
        <v>3</v>
      </c>
      <c r="D14" s="58" t="s">
        <v>18</v>
      </c>
      <c r="E14" s="59">
        <v>18.190000000000001</v>
      </c>
      <c r="F14" s="60">
        <f>IF(Tabla1[[#This Row],[CANTIDAD]]=0,"",(Tabla1[[#This Row],[EUROS]]+Tabla1[[#This Row],[COMISION]])/Tabla1[[#This Row],[CANTIDAD]])</f>
        <v>2.9136888400219898</v>
      </c>
    </row>
    <row r="15" spans="1:11" x14ac:dyDescent="0.35">
      <c r="A15" s="56">
        <v>45961</v>
      </c>
      <c r="B15" s="57">
        <v>46</v>
      </c>
      <c r="C15" s="57">
        <v>0.92</v>
      </c>
      <c r="D15" s="58" t="s">
        <v>19</v>
      </c>
      <c r="E15" s="59">
        <v>56.31</v>
      </c>
      <c r="F15" s="60">
        <f>IF(Tabla1[[#This Row],[CANTIDAD]]=0,"",(Tabla1[[#This Row],[EUROS]]+Tabla1[[#This Row],[COMISION]])/Tabla1[[#This Row],[CANTIDAD]])</f>
        <v>0.83324453915823127</v>
      </c>
      <c r="J15" s="8"/>
    </row>
    <row r="16" spans="1:11" x14ac:dyDescent="0.35">
      <c r="A16" s="56">
        <v>45961</v>
      </c>
      <c r="B16" s="57">
        <v>26</v>
      </c>
      <c r="C16" s="57">
        <v>0.46</v>
      </c>
      <c r="D16" s="58" t="s">
        <v>21</v>
      </c>
      <c r="E16" s="59">
        <v>13.76</v>
      </c>
      <c r="F16" s="60">
        <f>IF(Tabla1[[#This Row],[CANTIDAD]]=0,"",(Tabla1[[#This Row],[EUROS]]+Tabla1[[#This Row],[COMISION]])/Tabla1[[#This Row],[CANTIDAD]])</f>
        <v>1.92296511627907</v>
      </c>
      <c r="G16" s="9"/>
    </row>
    <row r="17" spans="1:6" x14ac:dyDescent="0.35">
      <c r="A17" s="56">
        <v>45961</v>
      </c>
      <c r="B17" s="57">
        <v>26</v>
      </c>
      <c r="C17" s="57">
        <v>0.46</v>
      </c>
      <c r="D17" s="58" t="s">
        <v>20</v>
      </c>
      <c r="E17" s="59">
        <v>9.9</v>
      </c>
      <c r="F17" s="60">
        <f>IF(Tabla1[[#This Row],[CANTIDAD]]=0,"",(Tabla1[[#This Row],[EUROS]]+Tabla1[[#This Row],[COMISION]])/Tabla1[[#This Row],[CANTIDAD]])</f>
        <v>2.6727272727272728</v>
      </c>
    </row>
    <row r="18" spans="1:6" x14ac:dyDescent="0.35">
      <c r="A18" s="56">
        <v>45961</v>
      </c>
      <c r="B18" s="57">
        <v>48</v>
      </c>
      <c r="C18" s="57">
        <v>0.96</v>
      </c>
      <c r="D18" s="58" t="s">
        <v>17</v>
      </c>
      <c r="E18" s="59">
        <v>2.94</v>
      </c>
      <c r="F18" s="60">
        <f>IF(Tabla1[[#This Row],[CANTIDAD]]=0,"",(Tabla1[[#This Row],[EUROS]]+Tabla1[[#This Row],[COMISION]])/Tabla1[[#This Row],[CANTIDAD]])</f>
        <v>16.653061224489797</v>
      </c>
    </row>
    <row r="19" spans="1:6" x14ac:dyDescent="0.35">
      <c r="A19" s="56">
        <v>45997</v>
      </c>
      <c r="B19" s="57">
        <v>160</v>
      </c>
      <c r="C19" s="57">
        <v>0</v>
      </c>
      <c r="D19" s="58" t="s">
        <v>8</v>
      </c>
      <c r="E19" s="59">
        <v>182</v>
      </c>
      <c r="F19" s="60">
        <f>IF(Tabla1[[#This Row],[CANTIDAD]]=0,"",(Tabla1[[#This Row],[EUROS]]+Tabla1[[#This Row],[COMISION]])/Tabla1[[#This Row],[CANTIDAD]])</f>
        <v>0.87912087912087911</v>
      </c>
    </row>
    <row r="28" spans="1:6" x14ac:dyDescent="0.35">
      <c r="D28" s="18"/>
    </row>
  </sheetData>
  <mergeCells count="9">
    <mergeCell ref="A3:F3"/>
    <mergeCell ref="A2:F2"/>
    <mergeCell ref="G5:H5"/>
    <mergeCell ref="G2:H2"/>
    <mergeCell ref="G3:G4"/>
    <mergeCell ref="H3:H4"/>
    <mergeCell ref="J2:K2"/>
    <mergeCell ref="J3:J4"/>
    <mergeCell ref="K3:K4"/>
  </mergeCells>
  <pageMargins left="0.7" right="0.7" top="0.75" bottom="0.75" header="0.3" footer="0.3"/>
  <pageSetup paperSize="9" orientation="landscape" horizontalDpi="300" verticalDpi="300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BE4F-4724-47E5-B130-EB4DA6BFEE4A}">
  <dimension ref="A2:K31"/>
  <sheetViews>
    <sheetView workbookViewId="0">
      <pane ySplit="4" topLeftCell="A5" activePane="bottomLeft" state="frozen"/>
      <selection pane="bottomLeft" activeCell="J17" sqref="J17"/>
    </sheetView>
  </sheetViews>
  <sheetFormatPr baseColWidth="10" defaultRowHeight="14.5" x14ac:dyDescent="0.35"/>
  <cols>
    <col min="1" max="1" width="16.6328125" style="3" customWidth="1"/>
    <col min="2" max="3" width="16.6328125" style="4" customWidth="1"/>
    <col min="4" max="6" width="16.6328125" style="3" customWidth="1"/>
    <col min="7" max="8" width="16.6328125" customWidth="1"/>
    <col min="10" max="11" width="16.6328125" customWidth="1"/>
  </cols>
  <sheetData>
    <row r="2" spans="1:11" ht="18.5" x14ac:dyDescent="0.45">
      <c r="A2" s="53" t="s">
        <v>7</v>
      </c>
      <c r="B2" s="53"/>
      <c r="C2" s="53"/>
      <c r="D2" s="53"/>
      <c r="E2" s="53"/>
      <c r="F2" s="53"/>
      <c r="G2" s="26" t="s">
        <v>33</v>
      </c>
      <c r="H2" s="26"/>
      <c r="J2" s="26" t="s">
        <v>48</v>
      </c>
      <c r="K2" s="26"/>
    </row>
    <row r="3" spans="1:11" ht="15" customHeight="1" x14ac:dyDescent="0.35">
      <c r="A3" s="23" t="s">
        <v>22</v>
      </c>
      <c r="B3" s="23"/>
      <c r="C3" s="23"/>
      <c r="D3" s="23"/>
      <c r="E3" s="23"/>
      <c r="F3" s="23"/>
      <c r="G3" s="63">
        <f>SUM(Tabla13[EUROS])+SUM(Tabla13[COMISION])</f>
        <v>1173.2299999999998</v>
      </c>
      <c r="H3" s="64">
        <f>G3/RESUMEN!$B$3</f>
        <v>1380.2705882352939</v>
      </c>
      <c r="J3" s="102">
        <f>RESUMEN!$B$24*RESUMEN!$B$3</f>
        <v>3205.3089094530001</v>
      </c>
      <c r="K3" s="67">
        <f>RESUMEN!$B$24</f>
        <v>3770.9516581800003</v>
      </c>
    </row>
    <row r="4" spans="1:11" ht="15" customHeight="1" x14ac:dyDescent="0.35">
      <c r="A4" s="54" t="s">
        <v>0</v>
      </c>
      <c r="B4" s="55" t="s">
        <v>1</v>
      </c>
      <c r="C4" s="55" t="s">
        <v>6</v>
      </c>
      <c r="D4" s="54" t="s">
        <v>3</v>
      </c>
      <c r="E4" s="54" t="s">
        <v>2</v>
      </c>
      <c r="F4" s="54" t="s">
        <v>32</v>
      </c>
      <c r="G4" s="65"/>
      <c r="H4" s="66"/>
      <c r="J4" s="44"/>
      <c r="K4" s="45"/>
    </row>
    <row r="5" spans="1:11" x14ac:dyDescent="0.35">
      <c r="A5" s="56">
        <v>46023</v>
      </c>
      <c r="B5" s="57">
        <v>100</v>
      </c>
      <c r="C5" s="57">
        <v>0</v>
      </c>
      <c r="D5" s="58" t="s">
        <v>20</v>
      </c>
      <c r="E5" s="59">
        <v>65.400000000000006</v>
      </c>
      <c r="F5" s="60">
        <f>IF(Tabla13[[#This Row],[CANTIDAD]]=0,"",(Tabla13[[#This Row],[EUROS]]+Tabla13[[#This Row],[COMISION]])/Tabla13[[#This Row],[CANTIDAD]])</f>
        <v>1.5290519877675839</v>
      </c>
      <c r="G5" s="46" t="s">
        <v>12</v>
      </c>
      <c r="H5" s="46"/>
    </row>
    <row r="6" spans="1:11" x14ac:dyDescent="0.35">
      <c r="A6" s="56">
        <v>46023</v>
      </c>
      <c r="B6" s="57">
        <v>50</v>
      </c>
      <c r="C6" s="57">
        <v>0</v>
      </c>
      <c r="D6" s="58" t="s">
        <v>17</v>
      </c>
      <c r="E6" s="59">
        <v>4.75</v>
      </c>
      <c r="F6" s="60">
        <f>IF(Tabla13[[#This Row],[CANTIDAD]]=0,"",(Tabla13[[#This Row],[EUROS]]+Tabla13[[#This Row],[COMISION]])/Tabla13[[#This Row],[CANTIDAD]])</f>
        <v>10.526315789473685</v>
      </c>
      <c r="G6" s="47" t="s">
        <v>13</v>
      </c>
      <c r="H6" s="47" t="s">
        <v>14</v>
      </c>
    </row>
    <row r="7" spans="1:11" x14ac:dyDescent="0.35">
      <c r="A7" s="56">
        <v>46050</v>
      </c>
      <c r="B7" s="57">
        <v>50</v>
      </c>
      <c r="C7" s="57">
        <v>0</v>
      </c>
      <c r="D7" s="58" t="s">
        <v>19</v>
      </c>
      <c r="E7" s="59">
        <v>136</v>
      </c>
      <c r="F7" s="60">
        <f>IF(Tabla13[[#This Row],[CANTIDAD]]=0,"",(Tabla13[[#This Row],[EUROS]]+Tabla13[[#This Row],[COMISION]])/Tabla13[[#This Row],[CANTIDAD]])</f>
        <v>0.36764705882352944</v>
      </c>
      <c r="G7" s="2" t="s">
        <v>11</v>
      </c>
      <c r="H7" s="1">
        <v>238</v>
      </c>
    </row>
    <row r="8" spans="1:11" x14ac:dyDescent="0.35">
      <c r="A8" s="56">
        <v>46050</v>
      </c>
      <c r="B8" s="57">
        <v>50</v>
      </c>
      <c r="C8" s="57">
        <v>0</v>
      </c>
      <c r="D8" s="58" t="s">
        <v>21</v>
      </c>
      <c r="E8" s="59">
        <v>40.9</v>
      </c>
      <c r="F8" s="60">
        <f>IF(Tabla13[[#This Row],[CANTIDAD]]=0,"",(Tabla13[[#This Row],[EUROS]]+Tabla13[[#This Row],[COMISION]])/Tabla13[[#This Row],[CANTIDAD]])</f>
        <v>1.2224938875305624</v>
      </c>
      <c r="G8" s="2"/>
      <c r="H8" s="2"/>
    </row>
    <row r="9" spans="1:11" x14ac:dyDescent="0.35">
      <c r="A9" s="56">
        <v>46050</v>
      </c>
      <c r="B9" s="57">
        <v>50</v>
      </c>
      <c r="C9" s="57">
        <v>0</v>
      </c>
      <c r="D9" s="58" t="s">
        <v>18</v>
      </c>
      <c r="E9" s="59">
        <v>27</v>
      </c>
      <c r="F9" s="60">
        <f>IF(Tabla13[[#This Row],[CANTIDAD]]=0,"",(Tabla13[[#This Row],[EUROS]]+Tabla13[[#This Row],[COMISION]])/Tabla13[[#This Row],[CANTIDAD]])</f>
        <v>1.8518518518518519</v>
      </c>
      <c r="G9" s="2"/>
      <c r="H9" s="2"/>
    </row>
    <row r="10" spans="1:11" x14ac:dyDescent="0.35">
      <c r="A10" s="56">
        <v>46080</v>
      </c>
      <c r="B10" s="57">
        <v>100</v>
      </c>
      <c r="C10" s="57">
        <v>3</v>
      </c>
      <c r="D10" s="58" t="s">
        <v>27</v>
      </c>
      <c r="E10" s="59">
        <v>1.714E-3</v>
      </c>
      <c r="F10" s="60">
        <f>IF(Tabla13[[#This Row],[CANTIDAD]]=0,"",(Tabla13[[#This Row],[EUROS]]+Tabla13[[#This Row],[COMISION]])/Tabla13[[#This Row],[CANTIDAD]])</f>
        <v>60093.34889148191</v>
      </c>
      <c r="G10" s="2"/>
      <c r="H10" s="2"/>
    </row>
    <row r="11" spans="1:11" x14ac:dyDescent="0.35">
      <c r="A11" s="56">
        <v>46113</v>
      </c>
      <c r="B11" s="57">
        <v>43</v>
      </c>
      <c r="C11" s="57">
        <v>0.2</v>
      </c>
      <c r="D11" s="58" t="s">
        <v>18</v>
      </c>
      <c r="E11" s="59">
        <v>30</v>
      </c>
      <c r="F11" s="60">
        <f>IF(Tabla13[[#This Row],[CANTIDAD]]=0,"",(Tabla13[[#This Row],[EUROS]]+Tabla13[[#This Row],[COMISION]])/Tabla13[[#This Row],[CANTIDAD]])</f>
        <v>1.4400000000000002</v>
      </c>
      <c r="G11" s="2"/>
      <c r="H11" s="2"/>
      <c r="I11" s="10"/>
    </row>
    <row r="12" spans="1:11" x14ac:dyDescent="0.35">
      <c r="A12" s="56">
        <v>46113</v>
      </c>
      <c r="B12" s="57">
        <v>65</v>
      </c>
      <c r="C12" s="57">
        <v>0.1</v>
      </c>
      <c r="D12" s="58" t="s">
        <v>17</v>
      </c>
      <c r="E12" s="59">
        <v>8.5</v>
      </c>
      <c r="F12" s="60">
        <f>IF(Tabla13[[#This Row],[CANTIDAD]]=0,"",(Tabla13[[#This Row],[EUROS]]+Tabla13[[#This Row],[COMISION]])/Tabla13[[#This Row],[CANTIDAD]])</f>
        <v>7.6588235294117641</v>
      </c>
      <c r="G12" s="2"/>
      <c r="H12" s="2"/>
    </row>
    <row r="13" spans="1:11" x14ac:dyDescent="0.35">
      <c r="A13" s="56">
        <v>46113</v>
      </c>
      <c r="B13" s="57">
        <v>40.93</v>
      </c>
      <c r="C13" s="57">
        <v>0</v>
      </c>
      <c r="D13" s="58" t="s">
        <v>4</v>
      </c>
      <c r="E13" s="59">
        <v>0.08</v>
      </c>
      <c r="F13" s="60">
        <f>IF(Tabla13[[#This Row],[CANTIDAD]]=0,"",(Tabla13[[#This Row],[EUROS]]+Tabla13[[#This Row],[COMISION]])/Tabla13[[#This Row],[CANTIDAD]])</f>
        <v>511.625</v>
      </c>
    </row>
    <row r="14" spans="1:11" x14ac:dyDescent="0.35">
      <c r="A14" s="56">
        <v>46133</v>
      </c>
      <c r="B14" s="57">
        <v>150</v>
      </c>
      <c r="C14" s="57">
        <v>5</v>
      </c>
      <c r="D14" s="58" t="s">
        <v>18</v>
      </c>
      <c r="E14" s="59">
        <v>93.74</v>
      </c>
      <c r="F14" s="60">
        <f>IF(Tabla13[[#This Row],[CANTIDAD]]=0,"",(Tabla13[[#This Row],[EUROS]]+Tabla13[[#This Row],[COMISION]])/Tabla13[[#This Row],[CANTIDAD]])</f>
        <v>1.653509707702155</v>
      </c>
    </row>
    <row r="15" spans="1:11" x14ac:dyDescent="0.35">
      <c r="A15" s="56">
        <v>46175</v>
      </c>
      <c r="B15" s="57">
        <v>200</v>
      </c>
      <c r="C15" s="57">
        <v>7</v>
      </c>
      <c r="D15" s="58" t="s">
        <v>8</v>
      </c>
      <c r="E15" s="59">
        <v>212</v>
      </c>
      <c r="F15" s="60">
        <f>IF(Tabla13[[#This Row],[CANTIDAD]]=0,"",(Tabla13[[#This Row],[EUROS]]+Tabla13[[#This Row],[COMISION]])/Tabla13[[#This Row],[CANTIDAD]])</f>
        <v>0.97641509433962259</v>
      </c>
      <c r="J15" s="8"/>
    </row>
    <row r="16" spans="1:11" x14ac:dyDescent="0.35">
      <c r="A16" s="56">
        <v>46205</v>
      </c>
      <c r="B16" s="57">
        <v>100</v>
      </c>
      <c r="C16" s="57">
        <v>4</v>
      </c>
      <c r="D16" s="58" t="s">
        <v>28</v>
      </c>
      <c r="E16" s="59">
        <v>19500</v>
      </c>
      <c r="F16" s="60">
        <f>IF(Tabla13[[#This Row],[CANTIDAD]]=0,"",(Tabla13[[#This Row],[EUROS]]+Tabla13[[#This Row],[COMISION]])/Tabla13[[#This Row],[CANTIDAD]])</f>
        <v>5.3333333333333332E-3</v>
      </c>
      <c r="G16" s="9"/>
    </row>
    <row r="17" spans="1:6" x14ac:dyDescent="0.35">
      <c r="A17" s="56">
        <v>46235</v>
      </c>
      <c r="B17" s="57">
        <v>150</v>
      </c>
      <c r="C17" s="57">
        <v>5</v>
      </c>
      <c r="D17" s="58" t="s">
        <v>28</v>
      </c>
      <c r="E17" s="59">
        <v>29531</v>
      </c>
      <c r="F17" s="60">
        <f>IF(Tabla13[[#This Row],[CANTIDAD]]=0,"",(Tabla13[[#This Row],[EUROS]]+Tabla13[[#This Row],[COMISION]])/Tabla13[[#This Row],[CANTIDAD]])</f>
        <v>5.2487216822999557E-3</v>
      </c>
    </row>
    <row r="18" spans="1:6" x14ac:dyDescent="0.35">
      <c r="A18" s="56"/>
      <c r="B18" s="61"/>
      <c r="C18" s="61"/>
      <c r="D18" s="58"/>
      <c r="E18" s="58"/>
      <c r="F18" s="62"/>
    </row>
    <row r="19" spans="1:6" x14ac:dyDescent="0.35">
      <c r="A19" s="56"/>
      <c r="B19" s="61"/>
      <c r="C19" s="61"/>
      <c r="D19" s="58"/>
      <c r="E19" s="58"/>
      <c r="F19" s="62"/>
    </row>
    <row r="20" spans="1:6" x14ac:dyDescent="0.35">
      <c r="A20" s="56"/>
      <c r="B20" s="61"/>
      <c r="C20" s="61"/>
      <c r="D20" s="58"/>
      <c r="E20" s="58"/>
      <c r="F20" s="61"/>
    </row>
    <row r="21" spans="1:6" x14ac:dyDescent="0.35">
      <c r="A21" s="56"/>
      <c r="B21" s="61"/>
      <c r="C21" s="61"/>
      <c r="D21" s="58"/>
      <c r="E21" s="58"/>
      <c r="F21" s="61"/>
    </row>
    <row r="22" spans="1:6" x14ac:dyDescent="0.35">
      <c r="A22" s="56"/>
      <c r="B22" s="61"/>
      <c r="C22" s="61"/>
      <c r="D22" s="58"/>
      <c r="E22" s="58"/>
      <c r="F22" s="61"/>
    </row>
    <row r="31" spans="1:6" x14ac:dyDescent="0.35">
      <c r="D31" s="18"/>
    </row>
  </sheetData>
  <mergeCells count="9">
    <mergeCell ref="G5:H5"/>
    <mergeCell ref="J2:K2"/>
    <mergeCell ref="J3:J4"/>
    <mergeCell ref="K3:K4"/>
    <mergeCell ref="A2:F2"/>
    <mergeCell ref="G2:H2"/>
    <mergeCell ref="A3:F3"/>
    <mergeCell ref="G3:G4"/>
    <mergeCell ref="H3:H4"/>
  </mergeCells>
  <pageMargins left="0.7" right="0.7" top="0.75" bottom="0.75" header="0.3" footer="0.3"/>
  <pageSetup paperSize="9" orientation="portrait" horizontalDpi="300" verticalDpi="300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348A-7A3D-42E1-9412-A9C546F6E994}">
  <dimension ref="A1:F26"/>
  <sheetViews>
    <sheetView workbookViewId="0">
      <selection activeCell="E28" sqref="E28"/>
    </sheetView>
  </sheetViews>
  <sheetFormatPr baseColWidth="10" defaultRowHeight="14.5" x14ac:dyDescent="0.35"/>
  <cols>
    <col min="1" max="6" width="16.6328125" customWidth="1"/>
  </cols>
  <sheetData>
    <row r="1" spans="1:6" ht="18.5" x14ac:dyDescent="0.45">
      <c r="A1" s="25" t="s">
        <v>7</v>
      </c>
      <c r="B1" s="25"/>
      <c r="C1" s="25"/>
      <c r="D1" s="25"/>
      <c r="E1" s="25"/>
      <c r="F1" s="25"/>
    </row>
    <row r="2" spans="1:6" x14ac:dyDescent="0.35">
      <c r="A2" s="23" t="s">
        <v>23</v>
      </c>
      <c r="B2" s="23"/>
      <c r="C2" s="23"/>
      <c r="D2" s="23"/>
      <c r="E2" s="24"/>
      <c r="F2" s="24"/>
    </row>
    <row r="3" spans="1:6" x14ac:dyDescent="0.35">
      <c r="A3" s="5" t="s">
        <v>0</v>
      </c>
      <c r="B3" s="16" t="s">
        <v>15</v>
      </c>
      <c r="C3" s="5" t="s">
        <v>24</v>
      </c>
      <c r="D3" s="5" t="s">
        <v>25</v>
      </c>
      <c r="E3" s="7" t="s">
        <v>16</v>
      </c>
      <c r="F3" s="14" t="s">
        <v>26</v>
      </c>
    </row>
    <row r="4" spans="1:6" x14ac:dyDescent="0.35">
      <c r="A4" s="6">
        <v>45874</v>
      </c>
      <c r="B4" s="15">
        <v>167</v>
      </c>
      <c r="C4" s="2" t="s">
        <v>8</v>
      </c>
      <c r="D4" s="2" t="s">
        <v>10</v>
      </c>
      <c r="E4" s="12">
        <v>599</v>
      </c>
      <c r="F4" s="15">
        <f>Tabla110[[#This Row],[DOLARES]]/Tabla110[[#This Row],[VOLUMEN]]</f>
        <v>0.27879799666110183</v>
      </c>
    </row>
    <row r="5" spans="1:6" x14ac:dyDescent="0.35">
      <c r="A5" s="6">
        <v>45965</v>
      </c>
      <c r="B5" s="15">
        <v>25</v>
      </c>
      <c r="C5" s="2" t="s">
        <v>8</v>
      </c>
      <c r="D5" s="2" t="s">
        <v>18</v>
      </c>
      <c r="E5" s="12">
        <v>9.25</v>
      </c>
      <c r="F5" s="15">
        <f>Tabla110[[#This Row],[DOLARES]]/Tabla110[[#This Row],[VOLUMEN]]</f>
        <v>2.7027027027027026</v>
      </c>
    </row>
    <row r="6" spans="1:6" x14ac:dyDescent="0.35">
      <c r="A6" s="6">
        <v>45965</v>
      </c>
      <c r="B6" s="15">
        <v>25</v>
      </c>
      <c r="C6" s="2" t="s">
        <v>8</v>
      </c>
      <c r="D6" s="2" t="s">
        <v>19</v>
      </c>
      <c r="E6" s="12">
        <v>31</v>
      </c>
      <c r="F6" s="15">
        <f>Tabla110[[#This Row],[DOLARES]]/Tabla110[[#This Row],[VOLUMEN]]</f>
        <v>0.80645161290322576</v>
      </c>
    </row>
    <row r="7" spans="1:6" x14ac:dyDescent="0.35">
      <c r="A7" s="6">
        <v>45965</v>
      </c>
      <c r="B7" s="15">
        <v>25</v>
      </c>
      <c r="C7" s="2" t="s">
        <v>8</v>
      </c>
      <c r="D7" s="2" t="s">
        <v>20</v>
      </c>
      <c r="E7" s="12">
        <v>9.67</v>
      </c>
      <c r="F7" s="15">
        <f>Tabla110[[#This Row],[DOLARES]]/Tabla110[[#This Row],[VOLUMEN]]</f>
        <v>2.5853154084798344</v>
      </c>
    </row>
    <row r="8" spans="1:6" x14ac:dyDescent="0.35">
      <c r="A8" s="6">
        <v>45965</v>
      </c>
      <c r="B8" s="15">
        <v>25</v>
      </c>
      <c r="C8" s="2" t="s">
        <v>8</v>
      </c>
      <c r="D8" s="2" t="s">
        <v>17</v>
      </c>
      <c r="E8" s="12">
        <v>1.5</v>
      </c>
      <c r="F8" s="15">
        <f>Tabla110[[#This Row],[DOLARES]]/Tabla110[[#This Row],[VOLUMEN]]</f>
        <v>16.666666666666668</v>
      </c>
    </row>
    <row r="9" spans="1:6" x14ac:dyDescent="0.35">
      <c r="A9" s="6">
        <v>45965</v>
      </c>
      <c r="B9" s="15">
        <v>25</v>
      </c>
      <c r="C9" s="2" t="s">
        <v>8</v>
      </c>
      <c r="D9" s="2" t="s">
        <v>21</v>
      </c>
      <c r="E9" s="12">
        <v>13</v>
      </c>
      <c r="F9" s="15">
        <f>Tabla110[[#This Row],[DOLARES]]/Tabla110[[#This Row],[VOLUMEN]]</f>
        <v>1.9230769230769231</v>
      </c>
    </row>
    <row r="10" spans="1:6" x14ac:dyDescent="0.35">
      <c r="A10" s="6">
        <v>45997</v>
      </c>
      <c r="B10" s="15">
        <v>35</v>
      </c>
      <c r="C10" s="2" t="s">
        <v>8</v>
      </c>
      <c r="D10" s="2" t="s">
        <v>18</v>
      </c>
      <c r="E10" s="12">
        <v>15.53</v>
      </c>
      <c r="F10" s="15">
        <f>Tabla110[[#This Row],[DOLARES]]/Tabla110[[#This Row],[VOLUMEN]]</f>
        <v>2.2537025112685125</v>
      </c>
    </row>
    <row r="11" spans="1:6" x14ac:dyDescent="0.35">
      <c r="A11" s="6">
        <v>45997</v>
      </c>
      <c r="B11" s="15">
        <v>35</v>
      </c>
      <c r="C11" s="2" t="s">
        <v>8</v>
      </c>
      <c r="D11" s="2" t="s">
        <v>19</v>
      </c>
      <c r="E11" s="12">
        <v>60.46</v>
      </c>
      <c r="F11" s="15">
        <f>Tabla110[[#This Row],[DOLARES]]/Tabla110[[#This Row],[VOLUMEN]]</f>
        <v>0.57889513728084685</v>
      </c>
    </row>
    <row r="12" spans="1:6" x14ac:dyDescent="0.35">
      <c r="A12" s="6">
        <v>45997</v>
      </c>
      <c r="B12" s="15">
        <v>35</v>
      </c>
      <c r="C12" s="2" t="s">
        <v>8</v>
      </c>
      <c r="D12" s="2" t="s">
        <v>20</v>
      </c>
      <c r="E12" s="12">
        <v>16.37</v>
      </c>
      <c r="F12" s="15">
        <f>Tabla110[[#This Row],[DOLARES]]/Tabla110[[#This Row],[VOLUMEN]]</f>
        <v>2.1380574221136222</v>
      </c>
    </row>
    <row r="13" spans="1:6" x14ac:dyDescent="0.35">
      <c r="A13" s="6">
        <v>45997</v>
      </c>
      <c r="B13" s="15">
        <v>35</v>
      </c>
      <c r="C13" s="2" t="s">
        <v>8</v>
      </c>
      <c r="D13" s="2" t="s">
        <v>17</v>
      </c>
      <c r="E13" s="12">
        <v>2.62</v>
      </c>
      <c r="F13" s="15">
        <f>Tabla110[[#This Row],[DOLARES]]/Tabla110[[#This Row],[VOLUMEN]]</f>
        <v>13.358778625954198</v>
      </c>
    </row>
    <row r="14" spans="1:6" x14ac:dyDescent="0.35">
      <c r="A14" s="6">
        <v>45997</v>
      </c>
      <c r="B14" s="15">
        <v>35</v>
      </c>
      <c r="C14" s="2" t="s">
        <v>8</v>
      </c>
      <c r="D14" s="2" t="s">
        <v>21</v>
      </c>
      <c r="E14" s="12">
        <v>20.38</v>
      </c>
      <c r="F14" s="15">
        <f>Tabla110[[#This Row],[DOLARES]]/Tabla110[[#This Row],[VOLUMEN]]</f>
        <v>1.7173699705593721</v>
      </c>
    </row>
    <row r="15" spans="1:6" x14ac:dyDescent="0.35">
      <c r="A15" s="6"/>
      <c r="B15" s="15"/>
      <c r="C15" s="2"/>
      <c r="D15" s="2"/>
      <c r="E15" s="12"/>
      <c r="F15" s="15"/>
    </row>
    <row r="16" spans="1:6" x14ac:dyDescent="0.35">
      <c r="A16" s="6"/>
      <c r="B16" s="15"/>
      <c r="C16" s="2"/>
      <c r="D16" s="2"/>
      <c r="E16" s="12"/>
      <c r="F16" s="15"/>
    </row>
    <row r="17" spans="1:6" x14ac:dyDescent="0.35">
      <c r="A17" s="6"/>
      <c r="B17" s="15"/>
      <c r="C17" s="2"/>
      <c r="D17" s="2"/>
      <c r="E17" s="12"/>
      <c r="F17" s="15"/>
    </row>
    <row r="18" spans="1:6" x14ac:dyDescent="0.35">
      <c r="A18" s="6"/>
      <c r="B18" s="17"/>
      <c r="C18" s="11"/>
      <c r="D18" s="11"/>
      <c r="E18" s="13"/>
      <c r="F18" s="15"/>
    </row>
    <row r="19" spans="1:6" x14ac:dyDescent="0.35">
      <c r="A19" s="3"/>
      <c r="B19" s="4"/>
      <c r="C19" s="3"/>
      <c r="D19" s="3"/>
      <c r="E19" s="3"/>
      <c r="F19" s="3"/>
    </row>
    <row r="26" spans="1:6" x14ac:dyDescent="0.35">
      <c r="D26" s="9"/>
    </row>
  </sheetData>
  <mergeCells count="2">
    <mergeCell ref="A1:F1"/>
    <mergeCell ref="A2:F2"/>
  </mergeCells>
  <phoneticPr fontId="7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39DDD0-4264-4AED-BBB0-C1A8685C10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PLAN Y RIESGOS</vt:lpstr>
      <vt:lpstr>MOVIMIENTOS</vt:lpstr>
      <vt:lpstr>PRECIOS</vt:lpstr>
      <vt:lpstr>2025</vt:lpstr>
      <vt:lpstr>2026</vt:lpstr>
      <vt:lpstr>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Vilas Paz</dc:creator>
  <cp:lastModifiedBy>Nando</cp:lastModifiedBy>
  <cp:lastPrinted>2025-09-11T20:52:22Z</cp:lastPrinted>
  <dcterms:created xsi:type="dcterms:W3CDTF">2025-08-06T10:21:06Z</dcterms:created>
  <dcterms:modified xsi:type="dcterms:W3CDTF">2026-08-25T18:09:46Z</dcterms:modified>
</cp:coreProperties>
</file>